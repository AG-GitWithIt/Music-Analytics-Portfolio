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83B2C95D-8269-4D20-9252-1F79D421910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atalog_Data" sheetId="1" r:id="rId1"/>
    <sheet name="Tier_Analysis" sheetId="2" r:id="rId2"/>
    <sheet name="Valuation_Sensitivity" sheetId="3" r:id="rId3"/>
    <sheet name="Overview - Investor" sheetId="4" r:id="rId4"/>
    <sheet name="Overview - Indy Musician" sheetId="5" r:id="rId5"/>
  </sheets>
  <calcPr calcId="191028"/>
  <pivotCaches>
    <pivotCache cacheId="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" l="1"/>
  <c r="G8" i="3"/>
  <c r="H8" i="3"/>
  <c r="I8" i="3"/>
  <c r="J8" i="3"/>
  <c r="F9" i="3"/>
  <c r="G9" i="3"/>
  <c r="H9" i="3"/>
  <c r="I9" i="3"/>
  <c r="J9" i="3"/>
  <c r="F10" i="3"/>
  <c r="G10" i="3"/>
  <c r="H10" i="3"/>
  <c r="I10" i="3"/>
  <c r="J10" i="3"/>
  <c r="F11" i="3"/>
  <c r="G11" i="3"/>
  <c r="H11" i="3"/>
  <c r="I11" i="3"/>
  <c r="J11" i="3"/>
  <c r="G7" i="3"/>
  <c r="H7" i="3"/>
  <c r="I7" i="3"/>
  <c r="J7" i="3"/>
  <c r="F7" i="3"/>
  <c r="E2" i="3"/>
  <c r="B6" i="3"/>
  <c r="B7" i="3" s="1"/>
  <c r="B8" i="3" s="1"/>
  <c r="F2" i="3" s="1"/>
  <c r="L2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H2" i="1" a="1"/>
  <c r="H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<sst xmlns="http://schemas.openxmlformats.org/spreadsheetml/2006/main" count="206" uniqueCount="186">
  <si>
    <t>Track_ID</t>
  </si>
  <si>
    <t>Artist_Name</t>
  </si>
  <si>
    <t>Album_Title</t>
  </si>
  <si>
    <t>Retail_Price</t>
  </si>
  <si>
    <t>Review_Count</t>
  </si>
  <si>
    <t>Total_Streams</t>
  </si>
  <si>
    <t>Organic_Stream_Pct</t>
  </si>
  <si>
    <t>Market_Tier</t>
  </si>
  <si>
    <t>Estimated_Gross_Revenue</t>
  </si>
  <si>
    <t>Revenue_Per_1k_Streams</t>
  </si>
  <si>
    <t>TRK001</t>
  </si>
  <si>
    <t>Miles Davis</t>
  </si>
  <si>
    <t>Kind of Blue (Legacy Edition)</t>
  </si>
  <si>
    <t>TRK002</t>
  </si>
  <si>
    <t>John Coltrane</t>
  </si>
  <si>
    <t>A Love Supreme</t>
  </si>
  <si>
    <t>TRK003</t>
  </si>
  <si>
    <t>Dave Brubeck</t>
  </si>
  <si>
    <t>Time Out</t>
  </si>
  <si>
    <t>TRK004</t>
  </si>
  <si>
    <t>Herbie Hancock</t>
  </si>
  <si>
    <t>Head Hunters</t>
  </si>
  <si>
    <t>TRK005</t>
  </si>
  <si>
    <t>Laufey</t>
  </si>
  <si>
    <t>Bewitched</t>
  </si>
  <si>
    <t>TRK006</t>
  </si>
  <si>
    <t>Boney James</t>
  </si>
  <si>
    <t>Detour</t>
  </si>
  <si>
    <t>TRK007</t>
  </si>
  <si>
    <t>Kamasi Washington</t>
  </si>
  <si>
    <t>Fearless Movement</t>
  </si>
  <si>
    <t>TRK008</t>
  </si>
  <si>
    <t>Roy Hargrove</t>
  </si>
  <si>
    <t>Earfood</t>
  </si>
  <si>
    <t>TRK009</t>
  </si>
  <si>
    <t>Chillaxing Jazz Collective</t>
  </si>
  <si>
    <t>Deep Focus Study Beats</t>
  </si>
  <si>
    <t>TRK010</t>
  </si>
  <si>
    <t>Smooth Rain Sounds</t>
  </si>
  <si>
    <t>Rainy Coffee Shop Background</t>
  </si>
  <si>
    <t>TRK011</t>
  </si>
  <si>
    <t>Cozy Mood Beats</t>
  </si>
  <si>
    <t>Midnight Lofi Lounge</t>
  </si>
  <si>
    <t>TRK012</t>
  </si>
  <si>
    <t>Sleepy Trio</t>
  </si>
  <si>
    <t>Soft Piano for Relaxation</t>
  </si>
  <si>
    <t>TRK013</t>
  </si>
  <si>
    <t>Wynton Marsalis</t>
  </si>
  <si>
    <t>The Magic Hour</t>
  </si>
  <si>
    <t>TRK014</t>
  </si>
  <si>
    <t>Ambient Jazz Project</t>
  </si>
  <si>
    <t>Sunday Morning Pancakes</t>
  </si>
  <si>
    <t>TRK015</t>
  </si>
  <si>
    <t>Robert Glasper</t>
  </si>
  <si>
    <t>Black Radio III</t>
  </si>
  <si>
    <t>Catalog Volume &amp; Price Distribution by Tier</t>
  </si>
  <si>
    <t>Catalog Share</t>
  </si>
  <si>
    <t>Avg Price</t>
  </si>
  <si>
    <t>Avg Reviews</t>
  </si>
  <si>
    <t>Organic Share</t>
  </si>
  <si>
    <t>Anchor (Legacy)</t>
  </si>
  <si>
    <t>Contemporary</t>
  </si>
  <si>
    <t>Transient / AI Risk</t>
  </si>
  <si>
    <t>Grand Total</t>
  </si>
  <si>
    <t>Stream Efficiency &amp; Revenue Realization</t>
  </si>
  <si>
    <t>Sum of Total_Streams</t>
  </si>
  <si>
    <t>Sum of Estimated_Gross_Revenue</t>
  </si>
  <si>
    <t>Average of Revenue_Per_1k_Streams</t>
  </si>
  <si>
    <t>Parameter</t>
  </si>
  <si>
    <t>Baseline Value</t>
  </si>
  <si>
    <t>Standard Per-Stream Royalty Rate</t>
  </si>
  <si>
    <t>Premium Digital Album Price</t>
  </si>
  <si>
    <t>Jukebox Credit Conversion Rate</t>
  </si>
  <si>
    <t>Target Catalog Multiple</t>
  </si>
  <si>
    <t>Annual Royalty Rate Scenarios (Growth/Royalty)</t>
  </si>
  <si>
    <t>Baseline Annual Streams (count)</t>
  </si>
  <si>
    <t>Baseline Annual Royalty Payout</t>
  </si>
  <si>
    <t>Estimated Catalog Valuation (12.5 years)</t>
  </si>
  <si>
    <t>pricing_value_model.xlsx</t>
  </si>
  <si>
    <t>├── Tab 1: Catalog_Data (Raw Data Table)</t>
  </si>
  <si>
    <t>├── Tab 2: Tier_Analysis (PivotTables &amp; Summary Aggregations)</t>
  </si>
  <si>
    <t>└── Tab 3: Valuation_Sensitivity (Dynamic Pricing &amp; Royalty Model)</t>
  </si>
  <si>
    <t>Catalog_Data</t>
  </si>
  <si>
    <t>Col A: Track_ID — Unique identifier (TRK001, TRK002, etc.)</t>
  </si>
  <si>
    <t>Col B: Artist_Name — String (Miles Davis, Laufey, Ambient Chill Beats)</t>
  </si>
  <si>
    <t>Col C: Album_Title — String</t>
  </si>
  <si>
    <t>Col D: Retail_Price — Currency ($)</t>
  </si>
  <si>
    <t>Col E: Review_Count — Integer</t>
  </si>
  <si>
    <t>Col F: Total_Streams — Integer</t>
  </si>
  <si>
    <t>Col G: Organic_Stream_Pct — Percentage (%)</t>
  </si>
  <si>
    <t>Col H: Market_Tier (Calculated Column): =IFS([@[Review_Count]]&gt;=1000, "Anchor (Legacy)", AND([@[Review_Count]]&gt;=50, [@[Review_Count]]&lt;1000), "Contemporary", [@[Review_Count]]&lt;50, "Transient / AI Risk")</t>
  </si>
  <si>
    <t>Col  I:Estimated_Gross_Revenue (Calculated Column based on standard $0.0038/stream): =[@[Total_Streams]] * 0.0038</t>
  </si>
  <si>
    <t>PivotTable 1: Catalog Volume &amp; Price Distribution by Tier</t>
  </si>
  <si>
    <t>Rows:</t>
  </si>
  <si>
    <t>Values:</t>
  </si>
  <si>
    <r>
      <t xml:space="preserve">(Summarized by </t>
    </r>
    <r>
      <rPr>
        <b/>
        <sz val="11"/>
        <color theme="1"/>
        <rFont val="Calibri"/>
        <scheme val="minor"/>
      </rPr>
      <t>Count</t>
    </r>
    <r>
      <rPr>
        <sz val="11"/>
        <color theme="1"/>
        <rFont val="Calibri"/>
        <scheme val="minor"/>
      </rPr>
      <t xml:space="preserve">) $\rightarrow$ </t>
    </r>
    <r>
      <rPr>
        <i/>
        <sz val="11"/>
        <color theme="1"/>
        <rFont val="Calibri"/>
        <scheme val="minor"/>
      </rPr>
      <t>Catalog Share</t>
    </r>
  </si>
  <si>
    <r>
      <t xml:space="preserve">(Summarized by </t>
    </r>
    <r>
      <rPr>
        <b/>
        <sz val="11"/>
        <color theme="1"/>
        <rFont val="Calibri"/>
        <scheme val="minor"/>
      </rPr>
      <t>Average</t>
    </r>
    <r>
      <rPr>
        <sz val="11"/>
        <color theme="1"/>
        <rFont val="Calibri"/>
        <scheme val="minor"/>
      </rPr>
      <t xml:space="preserve">, formatted as Currency) $\rightarrow$ </t>
    </r>
    <r>
      <rPr>
        <i/>
        <sz val="11"/>
        <color theme="1"/>
        <rFont val="Calibri"/>
        <scheme val="minor"/>
      </rPr>
      <t>Avg Price</t>
    </r>
  </si>
  <si>
    <r>
      <t xml:space="preserve">(Summarized by </t>
    </r>
    <r>
      <rPr>
        <b/>
        <sz val="11"/>
        <color theme="1"/>
        <rFont val="Calibri"/>
        <scheme val="minor"/>
      </rPr>
      <t>Average</t>
    </r>
    <r>
      <rPr>
        <sz val="11"/>
        <color theme="1"/>
        <rFont val="Calibri"/>
        <scheme val="minor"/>
      </rPr>
      <t xml:space="preserve">, formatted as #,##0) $\rightarrow$ </t>
    </r>
    <r>
      <rPr>
        <i/>
        <sz val="11"/>
        <color theme="1"/>
        <rFont val="Calibri"/>
        <scheme val="minor"/>
      </rPr>
      <t>Avg Reviews</t>
    </r>
  </si>
  <si>
    <r>
      <t xml:space="preserve">(Summarized by </t>
    </r>
    <r>
      <rPr>
        <b/>
        <sz val="11"/>
        <color theme="1"/>
        <rFont val="Calibri"/>
        <scheme val="minor"/>
      </rPr>
      <t>Average</t>
    </r>
    <r>
      <rPr>
        <sz val="11"/>
        <color theme="1"/>
        <rFont val="Calibri"/>
        <scheme val="minor"/>
      </rPr>
      <t xml:space="preserve">, formatted as 0.0%) $\rightarrow$ </t>
    </r>
    <r>
      <rPr>
        <i/>
        <sz val="11"/>
        <color theme="1"/>
        <rFont val="Calibri"/>
        <scheme val="minor"/>
      </rPr>
      <t>Organic Share</t>
    </r>
  </si>
  <si>
    <t>PivotTable 2: Stream Efficiency &amp; Revenue Realization</t>
  </si>
  <si>
    <r>
      <t xml:space="preserve">(Summarized by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>)</t>
    </r>
  </si>
  <si>
    <t>Calculated Field:</t>
  </si>
  <si>
    <t>=</t>
  </si>
  <si>
    <t>(Estimated_Gross_Revenue / Total_Streams) * 1000</t>
  </si>
  <si>
    <r>
      <rPr>
        <b/>
        <sz val="11"/>
        <color rgb="FF000000"/>
        <rFont val="Calibri"/>
      </rPr>
      <t>Valuation_Sensitivity</t>
    </r>
    <r>
      <rPr>
        <sz val="11"/>
        <color rgb="FF000000"/>
        <rFont val="Calibri"/>
      </rPr>
      <t xml:space="preserve"> is a </t>
    </r>
    <r>
      <rPr>
        <b/>
        <sz val="11"/>
        <color rgb="FF000000"/>
        <rFont val="Calibri"/>
      </rPr>
      <t>What-If Scenario Model</t>
    </r>
    <r>
      <rPr>
        <sz val="11"/>
        <color rgb="FF000000"/>
        <rFont val="Calibri"/>
      </rPr>
      <t>. In catalog acquisitions, valuation depends heavily on streaming payout rates and growth.</t>
    </r>
  </si>
  <si>
    <r>
      <t>The Goal:</t>
    </r>
    <r>
      <rPr>
        <sz val="11"/>
        <color theme="1"/>
        <rFont val="Calibri"/>
        <family val="2"/>
        <scheme val="minor"/>
      </rPr>
      <t xml:space="preserve"> Take your entire catalog's stream volume from Tab 1 and calculate </t>
    </r>
    <r>
      <rPr>
        <b/>
        <sz val="11"/>
        <color theme="1"/>
        <rFont val="Calibri"/>
        <family val="2"/>
        <scheme val="minor"/>
      </rPr>
      <t>what the catalog is worth</t>
    </r>
    <r>
      <rPr>
        <sz val="11"/>
        <color theme="1"/>
        <rFont val="Calibri"/>
        <family val="2"/>
        <scheme val="minor"/>
      </rPr>
      <t xml:space="preserve"> under different per-stream royalty payouts and growth rates.</t>
    </r>
  </si>
  <si>
    <t>The Outputs:</t>
  </si>
  <si>
    <r>
      <t>Single Annual Payout Calculation</t>
    </r>
    <r>
      <rPr>
        <sz val="11"/>
        <color theme="1"/>
        <rFont val="Calibri"/>
        <family val="2"/>
        <scheme val="minor"/>
      </rPr>
      <t xml:space="preserve"> (a quick summary formula).</t>
    </r>
  </si>
  <si>
    <r>
      <t>Sensitivity Matrix / Data Table</t>
    </r>
    <r>
      <rPr>
        <sz val="11"/>
        <color theme="1"/>
        <rFont val="Calibri"/>
        <family val="2"/>
        <scheme val="minor"/>
      </rPr>
      <t xml:space="preserve"> (a grid that shows multiple scenarios side-by-side).</t>
    </r>
  </si>
  <si>
    <t>Stream Volume (Count):</t>
  </si>
  <si>
    <t>total streams</t>
  </si>
  <si>
    <t>Per-Stream Rate (Price per stream):</t>
  </si>
  <si>
    <t>Annual Revenue (Dollars generated per year):</t>
  </si>
  <si>
    <r>
      <t xml:space="preserve">streams </t>
    </r>
    <r>
      <rPr>
        <sz val="11"/>
        <color theme="1"/>
        <rFont val="Google Sans Text"/>
        <family val="2"/>
        <charset val="1"/>
      </rPr>
      <t>$\times$</t>
    </r>
  </si>
  <si>
    <t>Total Revenue on 475m streams at .0038 per stream</t>
  </si>
  <si>
    <t>Valuation Multiple (Investor multiple):</t>
  </si>
  <si>
    <r>
      <t xml:space="preserve">An investor paying a </t>
    </r>
    <r>
      <rPr>
        <b/>
        <sz val="11"/>
        <color theme="1"/>
        <rFont val="Calibri"/>
        <family val="2"/>
        <scheme val="minor"/>
      </rPr>
      <t>12.5x multiple</t>
    </r>
    <r>
      <rPr>
        <sz val="11"/>
        <color theme="1"/>
        <rFont val="Calibri"/>
        <family val="2"/>
        <scheme val="minor"/>
      </rPr>
      <t xml:space="preserve"> is essentially paying 12.5 years' worth of baseline revenue up front to purchase the rights to those streams</t>
    </r>
  </si>
  <si>
    <t>12.5x</t>
  </si>
  <si>
    <t>Total Catalog Enterprise Value (Total worth):</t>
  </si>
  <si>
    <t>$\times$</t>
  </si>
  <si>
    <t>Catalog Valuation</t>
  </si>
  <si>
    <t>What an investor will pay for the rights to the catalog</t>
  </si>
  <si>
    <t>What Drives a Music Catalog Multiple?</t>
  </si>
  <si>
    <r>
      <t xml:space="preserve">In the real-world music acquisition market (e.g., Hipgnosis, Concord, Primary Wave, Universal Music Group), multiples typically range between </t>
    </r>
    <r>
      <rPr>
        <b/>
        <sz val="11"/>
        <color theme="1"/>
        <rFont val="Calibri"/>
        <family val="2"/>
        <scheme val="minor"/>
      </rPr>
      <t>8x and 18x+</t>
    </r>
    <r>
      <rPr>
        <sz val="11"/>
        <color theme="1"/>
        <rFont val="Calibri"/>
        <family val="2"/>
        <scheme val="minor"/>
      </rPr>
      <t>, determined by key risk and growth factors:</t>
    </r>
  </si>
  <si>
    <t>Catalog Age &amp; Stability (The "Lindy Effect")</t>
  </si>
  <si>
    <r>
      <t>Older/Anchor Catalogs (10–20+ years old):</t>
    </r>
    <r>
      <rPr>
        <sz val="11"/>
        <color theme="1"/>
        <rFont val="Calibri"/>
        <family val="2"/>
        <scheme val="minor"/>
      </rPr>
      <t xml:space="preserve"> Command higher multiples (12x–16x+) because their streaming curves have flattened into predictable, bond-like cash flows.</t>
    </r>
  </si>
  <si>
    <r>
      <t>Newer Catalogs (0–3 years old):</t>
    </r>
    <r>
      <rPr>
        <sz val="11"/>
        <color theme="1"/>
        <rFont val="Calibri"/>
        <family val="2"/>
        <scheme val="minor"/>
      </rPr>
      <t xml:space="preserve"> Suffer from "decay risk" (streams drop off significantly after initial hype), commanding lower multiples (8x–10x).</t>
    </r>
  </si>
  <si>
    <t>Genre &amp; Listener Loyalty</t>
  </si>
  <si>
    <r>
      <t xml:space="preserve">High-retention genres like </t>
    </r>
    <r>
      <rPr>
        <b/>
        <sz val="11"/>
        <color theme="1"/>
        <rFont val="Calibri"/>
        <family val="2"/>
        <scheme val="minor"/>
      </rPr>
      <t>Jazz, Classic Rock, and Evergreen Pop</t>
    </r>
    <r>
      <rPr>
        <sz val="11"/>
        <color theme="1"/>
        <rFont val="Calibri"/>
        <family val="2"/>
        <scheme val="minor"/>
      </rPr>
      <t xml:space="preserve"> command premium multiples because their audience is steady and less dependent on social media trends.</t>
    </r>
  </si>
  <si>
    <t>Monetization upside &amp; Strategic Levers</t>
  </si>
  <si>
    <r>
      <rPr>
        <sz val="11"/>
        <color rgb="FF000000"/>
        <rFont val="Calibri"/>
      </rPr>
      <t xml:space="preserve">If a buyer believes they can increase revenues through sync licensing (movies, TV, ads), price optimization, or fan engagement tools (like </t>
    </r>
    <r>
      <rPr>
        <b/>
        <sz val="11"/>
        <color rgb="FF000000"/>
        <rFont val="Calibri"/>
      </rPr>
      <t>Digital Jukebox</t>
    </r>
    <r>
      <rPr>
        <sz val="11"/>
        <color rgb="FF000000"/>
        <rFont val="Calibri"/>
      </rPr>
      <t xml:space="preserve"> concept), they are willing to pay at the higher end of the range (like </t>
    </r>
    <r>
      <rPr>
        <b/>
        <sz val="11"/>
        <color rgb="FF000000"/>
        <rFont val="Calibri"/>
      </rPr>
      <t>12.5x</t>
    </r>
    <r>
      <rPr>
        <sz val="11"/>
        <color rgb="FF000000"/>
        <rFont val="Calibri"/>
      </rPr>
      <t>).</t>
    </r>
  </si>
  <si>
    <t>I benchmarked the baseline valuation at a 12.5x multiple—standard for established, steady-yielding catalog assets—and used the sensitivity matrix to show executives how valuation scales if revenue shifts due to streaming payout updates or growth initiatives.</t>
  </si>
  <si>
    <t>Musician Ownership, Equity, and Control</t>
  </si>
  <si>
    <t>12.5 becomes financial independence</t>
  </si>
  <si>
    <t>Asset vs. Collateral</t>
  </si>
  <si>
    <r>
      <t xml:space="preserve">Instead of selling $22.5M of rights to a major label for a lump sum, the artist takes this exact sensitivity model to a credit union or artist-friendly capital partner to secure a </t>
    </r>
    <r>
      <rPr>
        <b/>
        <sz val="11"/>
        <color theme="1"/>
        <rFont val="Calibri"/>
        <family val="2"/>
        <scheme val="minor"/>
      </rPr>
      <t>catalog-backed loan</t>
    </r>
  </si>
  <si>
    <r>
      <t>They get upfront liquidity to fund their next tour, buy back their masters, or build an independent label—</t>
    </r>
    <r>
      <rPr>
        <b/>
        <sz val="11"/>
        <color theme="1"/>
        <rFont val="Calibri"/>
        <family val="2"/>
        <scheme val="minor"/>
      </rPr>
      <t>while retaining 100% ownership</t>
    </r>
    <r>
      <rPr>
        <sz val="11"/>
        <color theme="1"/>
        <rFont val="Calibri"/>
        <family val="2"/>
        <scheme val="minor"/>
      </rPr>
      <t xml:space="preserve"> of the underlying asset.</t>
    </r>
  </si>
  <si>
    <r>
      <t xml:space="preserve">The sensitivity matrix proves that a </t>
    </r>
    <r>
      <rPr>
        <b/>
        <sz val="11"/>
        <color theme="1"/>
        <rFont val="Calibri"/>
        <family val="2"/>
        <scheme val="minor"/>
      </rPr>
      <t>+10% to +30% stream growth shift</t>
    </r>
    <r>
      <rPr>
        <sz val="11"/>
        <color theme="1"/>
        <rFont val="Calibri"/>
        <family val="2"/>
        <scheme val="minor"/>
      </rPr>
      <t xml:space="preserve"> combined with slight monetization tweaks takes a catalog from </t>
    </r>
    <r>
      <rPr>
        <b/>
        <sz val="11"/>
        <color theme="1"/>
        <rFont val="Calibri"/>
        <family val="2"/>
        <scheme val="minor"/>
      </rPr>
      <t>$16M up to $34.7M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</si>
  <si>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0000"/>
        <rFont val="Calibri"/>
      </rPr>
      <t xml:space="preserve">The artist doesn't need 50 million passive background-music streams. They need a system ( </t>
    </r>
    <r>
      <rPr>
        <i/>
        <sz val="11"/>
        <color rgb="FF000000"/>
        <rFont val="Calibri"/>
      </rPr>
      <t>Compass to You</t>
    </r>
    <r>
      <rPr>
        <sz val="11"/>
        <color rgb="FF000000"/>
        <rFont val="Calibri"/>
      </rPr>
      <t xml:space="preserve"> framework) that systematically converts 10% of passive playlist listeners into direct subscribers.</t>
    </r>
  </si>
  <si>
    <t>While institutional buyers use this model to price catalog acquisitions, the same analytics empower independent artists to stay autonomous. By quantifying the enterprise value at 12.5x earnings ($22.5M), artists can access non-dilutive capital, leverage their catalog for asset-backed financing, and use direct fan funnels (like the Digital Jukebox) to lift blended payouts without surrendering their master ownership</t>
  </si>
  <si>
    <t>1. How the Lender Manages Their Risk (Loan-to-Value)</t>
  </si>
  <si>
    <r>
      <t xml:space="preserve">If an artist's catalog valuation is modeled at </t>
    </r>
    <r>
      <rPr>
        <b/>
        <sz val="11"/>
        <color theme="1"/>
        <rFont val="Calibri"/>
        <family val="2"/>
        <scheme val="minor"/>
      </rPr>
      <t>$22.5M</t>
    </r>
    <r>
      <rPr>
        <sz val="11"/>
        <color theme="1"/>
        <rFont val="Calibri"/>
        <family val="2"/>
        <scheme val="minor"/>
      </rPr>
      <t xml:space="preserve"> (based on $1.8M in annual cash flows at 12.5x multiple), a lender will </t>
    </r>
    <r>
      <rPr>
        <b/>
        <sz val="11"/>
        <color theme="1"/>
        <rFont val="Calibri"/>
        <family val="2"/>
        <scheme val="minor"/>
      </rPr>
      <t>never</t>
    </r>
    <r>
      <rPr>
        <sz val="11"/>
        <color theme="1"/>
        <rFont val="Calibri"/>
        <family val="2"/>
        <scheme val="minor"/>
      </rPr>
      <t xml:space="preserve"> lend the full $22.5M.</t>
    </r>
  </si>
  <si>
    <r>
      <t xml:space="preserve">Instead, they apply a </t>
    </r>
    <r>
      <rPr>
        <b/>
        <sz val="11"/>
        <color theme="1"/>
        <rFont val="Calibri"/>
        <family val="2"/>
        <scheme val="minor"/>
      </rPr>
      <t>Loan-to-Value (LTV)</t>
    </r>
    <r>
      <rPr>
        <sz val="11"/>
        <color theme="1"/>
        <rFont val="Calibri"/>
        <family val="2"/>
        <scheme val="minor"/>
      </rPr>
      <t xml:space="preserve"> cap—typically </t>
    </r>
    <r>
      <rPr>
        <b/>
        <sz val="11"/>
        <color theme="1"/>
        <rFont val="Calibri"/>
        <family val="2"/>
        <scheme val="minor"/>
      </rPr>
      <t>50% to 70%</t>
    </r>
    <r>
      <rPr>
        <sz val="11"/>
        <color theme="1"/>
        <rFont val="Calibri"/>
        <family val="2"/>
        <scheme val="minor"/>
      </rPr>
      <t>:</t>
    </r>
  </si>
  <si>
    <r>
      <t>Catalog Valuation:</t>
    </r>
    <r>
      <rPr>
        <sz val="11"/>
        <color theme="1"/>
        <rFont val="Calibri"/>
        <family val="2"/>
        <scheme val="minor"/>
      </rPr>
      <t xml:space="preserve"> $22,572,000</t>
    </r>
  </si>
  <si>
    <r>
      <t>Max Loan Amount (60% LTV):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~$13.5 Million</t>
    </r>
  </si>
  <si>
    <t>By leaving a $9M "safety buffer," even if streaming revenues drop by 20% (as modeled in downside scenario), the cash flow generated by the catalog is still more than enough to pay off the debt.</t>
  </si>
  <si>
    <t>2. The Mechanics: Non-Recourse Asset-Backed Financing</t>
  </si>
  <si>
    <r>
      <t xml:space="preserve">Unlike a personal loan, these music loans are structured as </t>
    </r>
    <r>
      <rPr>
        <b/>
        <sz val="11"/>
        <color theme="1"/>
        <rFont val="Calibri"/>
        <family val="2"/>
        <scheme val="minor"/>
      </rPr>
      <t>non-recourse catalog advances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revenue-share term agreements</t>
    </r>
    <r>
      <rPr>
        <sz val="11"/>
        <color theme="1"/>
        <rFont val="Calibri"/>
        <family val="2"/>
        <scheme val="minor"/>
      </rPr>
      <t>:</t>
    </r>
  </si>
  <si>
    <r>
      <t>The Artist Keeps Copyright Ownership:</t>
    </r>
    <r>
      <rPr>
        <sz val="11"/>
        <color theme="1"/>
        <rFont val="Calibri"/>
        <family val="2"/>
        <scheme val="minor"/>
      </rPr>
      <t xml:space="preserve"> The artist maintains 100% of their copyrights/masters—they do not assign or sell the title of their music.</t>
    </r>
  </si>
  <si>
    <r>
      <t>Temporary Royalty Assignment:</t>
    </r>
    <r>
      <rPr>
        <sz val="11"/>
        <color theme="1"/>
        <rFont val="Calibri"/>
        <family val="2"/>
        <scheme val="minor"/>
      </rPr>
      <t xml:space="preserve"> The artist temporarly directs their streaming distribution payouts (from Spotify/Apple/SoundExchange) to the lender.</t>
    </r>
  </si>
  <si>
    <r>
      <t>Automated Recoupment:</t>
    </r>
    <r>
      <rPr>
        <sz val="11"/>
        <color theme="1"/>
        <rFont val="Calibri"/>
        <family val="2"/>
        <scheme val="minor"/>
      </rPr>
      <t xml:space="preserve"> The lender collects a fixed percentage of monthly earnings to pay off the advance principal plus interest over a set term (e.g., 3 to 7 years).</t>
    </r>
  </si>
  <si>
    <r>
      <t>Full Reversion:</t>
    </r>
    <r>
      <rPr>
        <sz val="11"/>
        <color theme="1"/>
        <rFont val="Calibri"/>
        <family val="2"/>
        <scheme val="minor"/>
      </rPr>
      <t xml:space="preserve"> Once the loan balance hits $0, 100% of the royalty stream automatically reverts back to the artist.</t>
    </r>
  </si>
  <si>
    <t>3. Why This Is the Prince Play</t>
  </si>
  <si>
    <r>
      <t>Old Label Model (Selling Out):</t>
    </r>
    <r>
      <rPr>
        <sz val="11"/>
        <color theme="1"/>
        <rFont val="Calibri"/>
        <family val="2"/>
        <scheme val="minor"/>
      </rPr>
      <t xml:space="preserve"> "Give us your masters forever in exchange for an advance, and we will pay you 15% royalties."</t>
    </r>
  </si>
  <si>
    <r>
      <rPr>
        <b/>
        <sz val="11"/>
        <color rgb="FF000000"/>
        <rFont val="Calibri"/>
      </rPr>
      <t>Modern Catalog Financing Model (Prince Play):</t>
    </r>
    <r>
      <rPr>
        <sz val="11"/>
        <color rgb="FF000000"/>
        <rFont val="Calibri"/>
      </rPr>
      <t xml:space="preserve"> "I retain 100% ownership of my masters.  I borrow $13.5M upfront backed by my proven $1.8M/year streaming revenues. </t>
    </r>
  </si>
  <si>
    <t>I use that $13.5M to fund my own global tour, direct-to-fan distribution, and independent infrastructure. Once the loan pays off in 5 years, I still own my life's work completely."</t>
  </si>
  <si>
    <t>How to Highlight This Insight in Interviews</t>
  </si>
  <si>
    <t xml:space="preserve">The sensitivity model quantifies institutional buyout valuation at $22.5M, but strategically, it also establishes the credit base for non-dilutive debt financing. </t>
  </si>
  <si>
    <t>At a standard 60% LTV, an artist or label can unlock ~$13.5M in non-recourse capital against predictable streaming cash flow—allowing them to fund growth initiatives without selling off their catalog ownership."</t>
  </si>
  <si>
    <t>This is about reclaiming catalog equity</t>
  </si>
  <si>
    <t>Digital Jukebox Bridge Fixes the artist Dilemma</t>
  </si>
  <si>
    <r>
      <t>Top-of-Funnel Discovery (The Jukebox Credit System):</t>
    </r>
    <r>
      <rPr>
        <sz val="11"/>
        <color theme="1"/>
        <rFont val="Calibri"/>
        <family val="2"/>
        <scheme val="minor"/>
      </rPr>
      <t xml:space="preserve"> Instead of giving music away for fraction-of-a-cent stream rates, casual listeners use intentional monthly credits (e.g., 20 credits/month) to stream her new catalog. This preserves intentionality and guarantees a higher baseline payout rate per play.</t>
    </r>
  </si>
  <si>
    <r>
      <rPr>
        <b/>
        <sz val="11"/>
        <color rgb="FF000000"/>
        <rFont val="Calibri"/>
      </rPr>
      <t>The Direct Monetization Conversion:</t>
    </r>
    <r>
      <rPr>
        <sz val="11"/>
        <color rgb="FF000000"/>
        <rFont val="Calibri"/>
      </rPr>
      <t xml:space="preserve"> Listeners who frequently play legacy artists in the Jukebox trigger a </t>
    </r>
    <r>
      <rPr>
        <b/>
        <sz val="11"/>
        <color rgb="FF000000"/>
        <rFont val="Calibri"/>
      </rPr>
      <t>merch &amp; physical funnel</t>
    </r>
    <r>
      <rPr>
        <sz val="11"/>
        <color rgb="FF000000"/>
        <rFont val="Calibri"/>
      </rPr>
      <t>—getting direct access to limited-edition vinyl, live show presales, or Bandcamp drops.</t>
    </r>
  </si>
  <si>
    <r>
      <rPr>
        <b/>
        <sz val="11"/>
        <color rgb="FF000000"/>
        <rFont val="Calibri"/>
      </rPr>
      <t>Valuation Impact:</t>
    </r>
    <r>
      <rPr>
        <sz val="11"/>
        <color rgb="FF000000"/>
        <rFont val="Calibri"/>
      </rPr>
      <t xml:space="preserve"> By converting even 5% of a legacy artist's passive listeners into direct $10/month Bandcamp or Jukebox subscribers, her annual catalog cash flow becomes predictable and stable—instantly elevating her catalog's borrowing power and enterprise valuation without requiring millions of algorithmic streams.</t>
    </r>
  </si>
  <si>
    <t>"How does this portfolio model apply to a legacy artist  who rejects streaming?"</t>
  </si>
  <si>
    <t xml:space="preserve">Moving to Bandcamp proves why relying strictly on $0.0038/stream payout models fails legacy creators. </t>
  </si>
  <si>
    <t xml:space="preserve">This portfolio model quantifies how direct fan monetization—whether through Bandcamp or our Digital Jukebox concept—drastically increases the effective yield per listener. </t>
  </si>
  <si>
    <t>By capturing higher gross margins per user, artists don't need millions of passive streams to build a multi-million-dollar, sustainable catalog enterprise."</t>
  </si>
  <si>
    <t>1. The Math of Direct Monetization</t>
  </si>
  <si>
    <r>
      <t xml:space="preserve">On Spotify, an artist makes roughly </t>
    </r>
    <r>
      <rPr>
        <b/>
        <sz val="11"/>
        <color theme="1"/>
        <rFont val="Calibri"/>
        <scheme val="minor"/>
      </rPr>
      <t>$0.0038</t>
    </r>
    <r>
      <rPr>
        <sz val="11"/>
        <color theme="1"/>
        <rFont val="Calibri"/>
        <scheme val="minor"/>
      </rPr>
      <t xml:space="preserve"> per stream. On Bandcamp, if an artist sells a digital album for </t>
    </r>
    <r>
      <rPr>
        <b/>
        <sz val="11"/>
        <color theme="1"/>
        <rFont val="Calibri"/>
        <scheme val="minor"/>
      </rPr>
      <t>$10.99</t>
    </r>
    <r>
      <rPr>
        <sz val="11"/>
        <color theme="1"/>
        <rFont val="Calibri"/>
        <scheme val="minor"/>
      </rPr>
      <t xml:space="preserve">, Bandcamp takes a 15% revenue share (~$1.65), leaving the artist with </t>
    </r>
    <r>
      <rPr>
        <b/>
        <sz val="11"/>
        <color theme="1"/>
        <rFont val="Calibri"/>
        <scheme val="minor"/>
      </rPr>
      <t>~$9.34 net profit</t>
    </r>
    <r>
      <rPr>
        <sz val="11"/>
        <color theme="1"/>
        <rFont val="Calibri"/>
        <scheme val="minor"/>
      </rPr>
      <t>.</t>
    </r>
  </si>
  <si>
    <t>To calculate the "Effective Royalty Yield per Play," compare how many streams it takes to match one sale:</t>
  </si>
  <si>
    <t>$$\text{Equivalent Streams per Album} = \frac{\$9.34}{\$0.0038} \approx 2,457 \text{ streams}$$</t>
  </si>
  <si>
    <r>
      <t xml:space="preserve">Selling </t>
    </r>
    <r>
      <rPr>
        <b/>
        <sz val="11"/>
        <color theme="1"/>
        <rFont val="Calibri"/>
        <scheme val="minor"/>
      </rPr>
      <t>1 album</t>
    </r>
    <r>
      <rPr>
        <sz val="11"/>
        <color theme="1"/>
        <rFont val="Calibri"/>
        <scheme val="minor"/>
      </rPr>
      <t xml:space="preserve"> to a loyal fan generates the exact same net revenue as </t>
    </r>
    <r>
      <rPr>
        <b/>
        <sz val="11"/>
        <color theme="1"/>
        <rFont val="Calibri"/>
        <scheme val="minor"/>
      </rPr>
      <t>2,457 passive streams</t>
    </r>
    <r>
      <rPr>
        <sz val="11"/>
        <color theme="1"/>
        <rFont val="Calibri"/>
        <scheme val="minor"/>
      </rPr>
      <t xml:space="preserve"> on an open DSP.</t>
    </r>
  </si>
  <si>
    <t>2. How Legacy artists Numbers Plug into this Grid</t>
  </si>
  <si>
    <r>
      <rPr>
        <sz val="11"/>
        <color rgb="FF000000"/>
        <rFont val="Calibri"/>
      </rPr>
      <t xml:space="preserve">Let's say legacy artist has </t>
    </r>
    <r>
      <rPr>
        <b/>
        <sz val="11"/>
        <color rgb="FF000000"/>
        <rFont val="Calibri"/>
      </rPr>
      <t>5,000 core, dedicated fans</t>
    </r>
    <r>
      <rPr>
        <sz val="11"/>
        <color rgb="FF000000"/>
        <rFont val="Calibri"/>
      </rPr>
      <t xml:space="preserve"> who buy their new music directly instead of relying on algorithmic playlists:</t>
    </r>
  </si>
  <si>
    <r>
      <t>5,000 Fans $\times$ $10.99 Album</t>
    </r>
    <r>
      <rPr>
        <sz val="11"/>
        <color theme="1"/>
        <rFont val="Calibri"/>
        <scheme val="minor"/>
      </rPr>
      <t xml:space="preserve"> = </t>
    </r>
    <r>
      <rPr>
        <b/>
        <sz val="11"/>
        <color theme="1"/>
        <rFont val="Calibri"/>
        <scheme val="minor"/>
      </rPr>
      <t>$54,950 Gross Revenue</t>
    </r>
  </si>
  <si>
    <r>
      <t>Net to Artist (after 15% platform fee)</t>
    </r>
    <r>
      <rPr>
        <sz val="11"/>
        <color theme="1"/>
        <rFont val="Calibri"/>
        <scheme val="minor"/>
      </rPr>
      <t xml:space="preserve"> = </t>
    </r>
    <r>
      <rPr>
        <b/>
        <sz val="11"/>
        <color theme="1"/>
        <rFont val="Calibri"/>
        <scheme val="minor"/>
      </rPr>
      <t>$46,707.50</t>
    </r>
  </si>
  <si>
    <r>
      <t xml:space="preserve">To generate that same </t>
    </r>
    <r>
      <rPr>
        <b/>
        <sz val="11"/>
        <color theme="1"/>
        <rFont val="Calibri"/>
        <scheme val="minor"/>
      </rPr>
      <t>$46,707.50</t>
    </r>
    <r>
      <rPr>
        <sz val="11"/>
        <color theme="1"/>
        <rFont val="Calibri"/>
        <scheme val="minor"/>
      </rPr>
      <t xml:space="preserve"> on Spotify at $0.0038/stream, she would need </t>
    </r>
    <r>
      <rPr>
        <b/>
        <sz val="11"/>
        <color theme="1"/>
        <rFont val="Calibri"/>
        <scheme val="minor"/>
      </rPr>
      <t>12.29 million streams</t>
    </r>
    <r>
      <rPr>
        <sz val="11"/>
        <color theme="1"/>
        <rFont val="Calibri"/>
        <scheme val="minor"/>
      </rPr>
      <t>.</t>
    </r>
  </si>
  <si>
    <r>
      <t xml:space="preserve">If you plug that stable </t>
    </r>
    <r>
      <rPr>
        <b/>
        <sz val="11"/>
        <color theme="1"/>
        <rFont val="Calibri"/>
        <scheme val="minor"/>
      </rPr>
      <t>$46,707.50</t>
    </r>
    <r>
      <rPr>
        <sz val="11"/>
        <color theme="1"/>
        <rFont val="Calibri"/>
        <scheme val="minor"/>
      </rPr>
      <t xml:space="preserve"> annual direct revenue stream into your </t>
    </r>
    <r>
      <rPr>
        <b/>
        <sz val="11"/>
        <color theme="1"/>
        <rFont val="Calibri"/>
        <scheme val="minor"/>
      </rPr>
      <t>12.5x catalog multiple</t>
    </r>
    <r>
      <rPr>
        <sz val="11"/>
        <color theme="1"/>
        <rFont val="Calibri"/>
        <scheme val="minor"/>
      </rPr>
      <t>:</t>
    </r>
  </si>
  <si>
    <t>$$\text{Catalog Asset Value} = \$46,707.50 \times 12.5\text{x} = \mathbf{\$583,843.75}$$</t>
  </si>
  <si>
    <r>
      <rPr>
        <sz val="11"/>
        <color rgb="FF000000"/>
        <rFont val="Calibri"/>
      </rPr>
      <t xml:space="preserve">Their </t>
    </r>
    <r>
      <rPr>
        <b/>
        <sz val="11"/>
        <color rgb="FF000000"/>
        <rFont val="Calibri"/>
      </rPr>
      <t>5,000 direct, loyal fans</t>
    </r>
    <r>
      <rPr>
        <sz val="11"/>
        <color rgb="FF000000"/>
        <rFont val="Calibri"/>
      </rPr>
      <t xml:space="preserve"> just created over </t>
    </r>
    <r>
      <rPr>
        <b/>
        <sz val="11"/>
        <color rgb="FF000000"/>
        <rFont val="Calibri"/>
      </rPr>
      <t>half a million dollars in catalog equity</t>
    </r>
    <r>
      <rPr>
        <sz val="11"/>
        <color rgb="FF000000"/>
        <rFont val="Calibri"/>
      </rPr>
      <t>—without needing millions of background streams, playlist placements, or label middlemen.</t>
    </r>
  </si>
  <si>
    <t>3. The Core Strategic Realization</t>
  </si>
  <si>
    <t>Your model proves two fundamental principles that major labels often overlook:</t>
  </si>
  <si>
    <r>
      <t>Monetization Depth &gt; Streaming Breadth:</t>
    </r>
    <r>
      <rPr>
        <sz val="11"/>
        <color theme="1"/>
        <rFont val="Google Sans Text"/>
        <family val="2"/>
        <charset val="1"/>
      </rPr>
      <t xml:space="preserve"> You don't need millions of passive listeners to build a valuable catalog. A smaller, highly engaged fan base paying direct premium rates creates higher net cash flows and more reliable asset valuation.</t>
    </r>
  </si>
  <si>
    <r>
      <rPr>
        <b/>
        <sz val="11"/>
        <color rgb="FF000000"/>
        <rFont val="Google Sans Text"/>
      </rPr>
      <t>Predictable Cash Flow = Credit Power:</t>
    </r>
    <r>
      <rPr>
        <sz val="11"/>
        <color rgb="FF000000"/>
        <rFont val="Google Sans Text"/>
      </rPr>
      <t xml:space="preserve"> Because direct fan purchases (</t>
    </r>
    <r>
      <rPr>
        <b/>
        <sz val="11"/>
        <color rgb="FF000000"/>
        <rFont val="Google Sans Text"/>
      </rPr>
      <t>Digital Jukebox</t>
    </r>
    <r>
      <rPr>
        <sz val="11"/>
        <color rgb="FF000000"/>
        <rFont val="Google Sans Text"/>
      </rPr>
      <t xml:space="preserve">) are predictable and high-margin, lenders and financial institutions view those cash flows as </t>
    </r>
    <r>
      <rPr>
        <b/>
        <sz val="11"/>
        <color rgb="FF000000"/>
        <rFont val="Google Sans Text"/>
      </rPr>
      <t>higher quality</t>
    </r>
    <r>
      <rPr>
        <sz val="11"/>
        <color rgb="FF000000"/>
        <rFont val="Google Sans Text"/>
      </rPr>
      <t xml:space="preserve"> than volatile, algorithm-dependent streaming payouts.</t>
    </r>
  </si>
  <si>
    <r>
      <t xml:space="preserve">Whether an artist wants to borrow against their catalog or just remain completely independent, this spreadsheet models the exact leverage point where </t>
    </r>
    <r>
      <rPr>
        <b/>
        <sz val="11"/>
        <color theme="1"/>
        <rFont val="Calibri"/>
        <scheme val="minor"/>
      </rPr>
      <t>artistic control meets cold, hard balance sheet value.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</si>
</sst>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_([$$-409]* #,##0.00_);_([$$-409]* \(#,##0.00\);_([$$-409]* &quot;-&quot;??_);_(@_)"/>
    <numFmt numFmtId="165" formatCode="&quot;$&quot;0.00##"/>
    <numFmt numFmtId="166" formatCode="&quot;$&quot;#,##0.0000"/>
    <numFmt numFmtId="167" formatCode="&quot;$&quot;.00##"/>
    <numFmt numFmtId="168" formatCode="&quot;$&quot;.00###"/>
    <numFmt numFmtId="169" formatCode="&quot;$&quot;#,##0.00"/>
    <numFmt numFmtId="170" formatCode="&quot;$&quot;#,##0.0000_);[Red]\(&quot;$&quot;#,##0.00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i/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theme="1"/>
      <name val="Google Sans Text"/>
      <family val="2"/>
      <charset val="1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Google Sans Text"/>
      <family val="2"/>
      <charset val="1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scheme val="minor"/>
    </font>
    <font>
      <b/>
      <sz val="11"/>
      <color rgb="FF000000"/>
      <name val="Google Sans Text"/>
    </font>
    <font>
      <sz val="11"/>
      <color rgb="FF00000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0" borderId="0" xfId="0" quotePrefix="1"/>
    <xf numFmtId="0" fontId="2" fillId="0" borderId="1" xfId="0" applyFont="1" applyBorder="1"/>
    <xf numFmtId="10" fontId="7" fillId="0" borderId="2" xfId="0" applyNumberFormat="1" applyFont="1" applyBorder="1"/>
    <xf numFmtId="2" fontId="7" fillId="0" borderId="2" xfId="0" applyNumberFormat="1" applyFont="1" applyBorder="1" applyAlignment="1">
      <alignment horizontal="right"/>
    </xf>
    <xf numFmtId="0" fontId="9" fillId="0" borderId="0" xfId="0" applyFont="1"/>
    <xf numFmtId="166" fontId="0" fillId="0" borderId="0" xfId="0" applyNumberFormat="1"/>
    <xf numFmtId="0" fontId="7" fillId="0" borderId="0" xfId="0" applyFont="1"/>
    <xf numFmtId="0" fontId="10" fillId="0" borderId="0" xfId="0" applyFont="1"/>
    <xf numFmtId="4" fontId="7" fillId="0" borderId="0" xfId="0" applyNumberFormat="1" applyFont="1"/>
    <xf numFmtId="8" fontId="7" fillId="0" borderId="0" xfId="0" applyNumberFormat="1" applyFont="1"/>
    <xf numFmtId="8" fontId="10" fillId="0" borderId="0" xfId="0" applyNumberFormat="1" applyFont="1"/>
    <xf numFmtId="170" fontId="7" fillId="0" borderId="0" xfId="0" applyNumberFormat="1" applyFont="1"/>
    <xf numFmtId="0" fontId="11" fillId="0" borderId="0" xfId="0" applyFont="1"/>
    <xf numFmtId="0" fontId="0" fillId="0" borderId="0" xfId="0" applyAlignment="1">
      <alignment readingOrder="1"/>
    </xf>
    <xf numFmtId="0" fontId="8" fillId="0" borderId="0" xfId="0" applyFont="1" applyAlignment="1"/>
    <xf numFmtId="0" fontId="12" fillId="0" borderId="0" xfId="0" applyFont="1"/>
    <xf numFmtId="0" fontId="14" fillId="0" borderId="0" xfId="0" applyFont="1"/>
    <xf numFmtId="0" fontId="8" fillId="0" borderId="0" xfId="0" applyFont="1"/>
    <xf numFmtId="0" fontId="15" fillId="0" borderId="0" xfId="0" applyFont="1"/>
    <xf numFmtId="0" fontId="16" fillId="0" borderId="0" xfId="0" applyFont="1"/>
    <xf numFmtId="166" fontId="3" fillId="0" borderId="0" xfId="0" applyNumberFormat="1" applyFont="1"/>
    <xf numFmtId="169" fontId="0" fillId="0" borderId="3" xfId="0" applyNumberFormat="1" applyBorder="1"/>
    <xf numFmtId="9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0" fontId="3" fillId="2" borderId="0" xfId="0" applyFont="1" applyFill="1" applyAlignment="1">
      <alignment horizontal="center"/>
    </xf>
    <xf numFmtId="165" fontId="1" fillId="0" borderId="2" xfId="0" applyNumberFormat="1" applyFont="1" applyBorder="1"/>
    <xf numFmtId="164" fontId="1" fillId="0" borderId="2" xfId="0" applyNumberFormat="1" applyFont="1" applyBorder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4" formatCode="_([$$-409]* #,##0.00_);_([$$-409]* \(#,##0.00\);_([$$-409]* &quot;-&quot;??_);_(@_)"/>
    </dxf>
    <dxf>
      <numFmt numFmtId="14" formatCode="0.00%"/>
    </dxf>
    <dxf>
      <numFmt numFmtId="3" formatCode="#,##0"/>
    </dxf>
    <dxf>
      <numFmt numFmtId="164" formatCode="_([$$-409]* #,##0.00_);_([$$-409]* \(#,##0.00\);_([$$-409]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62470497685" createdVersion="8" refreshedVersion="8" minRefreshableVersion="3" recordCount="15" xr:uid="{365611F0-ADA4-4AE2-808E-0B3C7955443A}">
  <cacheSource type="worksheet">
    <worksheetSource name="tblCatalog"/>
  </cacheSource>
  <cacheFields count="10">
    <cacheField name="Track_ID" numFmtId="0">
      <sharedItems/>
    </cacheField>
    <cacheField name="Artist_Name" numFmtId="0">
      <sharedItems/>
    </cacheField>
    <cacheField name="Album_Title" numFmtId="0">
      <sharedItems/>
    </cacheField>
    <cacheField name="Retail_Price" numFmtId="0">
      <sharedItems containsSemiMixedTypes="0" containsString="0" containsNumber="1" minValue="5.99" maxValue="13.99"/>
    </cacheField>
    <cacheField name="Review_Count" numFmtId="0">
      <sharedItems containsSemiMixedTypes="0" containsString="0" containsNumber="1" containsInteger="1" minValue="0" maxValue="11420"/>
    </cacheField>
    <cacheField name="Total_Streams" numFmtId="0">
      <sharedItems containsSemiMixedTypes="0" containsString="0" containsNumber="1" minValue="2900000" maxValue="154000000.86000001"/>
    </cacheField>
    <cacheField name="Organic_Stream_Pct" numFmtId="0">
      <sharedItems containsSemiMixedTypes="0" containsString="0" containsNumber="1" minValue="0.03" maxValue="0.94"/>
    </cacheField>
    <cacheField name="Market_Tier" numFmtId="0">
      <sharedItems count="3">
        <s v="Anchor (Legacy)"/>
        <s v="Contemporary"/>
        <s v="Transient / AI Risk"/>
      </sharedItems>
    </cacheField>
    <cacheField name="Estimated_Gross_Revenue" numFmtId="0">
      <sharedItems containsSemiMixedTypes="0" containsString="0" containsNumber="1" minValue="11020" maxValue="585200.00326800009"/>
    </cacheField>
    <cacheField name="Revenue_Per_1k_Streams" numFmtId="0">
      <sharedItems containsSemiMixedTypes="0" containsString="0" containsNumber="1" minValue="3.8E-3" maxValue="3.8000000000000004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TRK001"/>
    <s v="Miles Davis"/>
    <s v="Kind of Blue (Legacy Edition)"/>
    <n v="13.99"/>
    <n v="11420"/>
    <n v="85400000"/>
    <n v="0.94"/>
    <x v="0"/>
    <n v="324520"/>
    <n v="3.8E-3"/>
  </r>
  <r>
    <s v="TRK002"/>
    <s v="John Coltrane"/>
    <s v="A Love Supreme"/>
    <n v="12.99"/>
    <n v="8950"/>
    <n v="62100000"/>
    <n v="0.92"/>
    <x v="0"/>
    <n v="235980"/>
    <n v="3.8E-3"/>
  </r>
  <r>
    <s v="TRK003"/>
    <s v="Dave Brubeck"/>
    <s v="Time Out"/>
    <n v="11.99"/>
    <n v="6320"/>
    <n v="48900000"/>
    <n v="0.89"/>
    <x v="0"/>
    <n v="185820"/>
    <n v="3.8E-3"/>
  </r>
  <r>
    <s v="TRK004"/>
    <s v="Herbie Hancock"/>
    <s v="Head Hunters"/>
    <n v="10.99"/>
    <n v="3410"/>
    <n v="31200000"/>
    <n v="0.85"/>
    <x v="0"/>
    <n v="118560"/>
    <n v="3.8E-3"/>
  </r>
  <r>
    <s v="TRK005"/>
    <s v="Laufey"/>
    <s v="Bewitched"/>
    <n v="10.99"/>
    <n v="840"/>
    <n v="18500000"/>
    <n v="0.88"/>
    <x v="1"/>
    <n v="70300"/>
    <n v="3.8E-3"/>
  </r>
  <r>
    <s v="TRK006"/>
    <s v="Boney James"/>
    <s v="Detour"/>
    <n v="9.99"/>
    <n v="310"/>
    <n v="4200000"/>
    <n v="0.76"/>
    <x v="1"/>
    <n v="15960"/>
    <n v="3.8E-3"/>
  </r>
  <r>
    <s v="TRK007"/>
    <s v="Kamasi Washington"/>
    <s v="Fearless Movement"/>
    <n v="10.99"/>
    <n v="520"/>
    <n v="8900000"/>
    <n v="0.81"/>
    <x v="1"/>
    <n v="33820"/>
    <n v="3.8E-3"/>
  </r>
  <r>
    <s v="TRK008"/>
    <s v="Roy Hargrove"/>
    <s v="Earfood"/>
    <n v="9.99"/>
    <n v="680"/>
    <n v="12100000"/>
    <n v="0.84"/>
    <x v="1"/>
    <n v="45980"/>
    <n v="3.8E-3"/>
  </r>
  <r>
    <s v="TRK009"/>
    <s v="Chillaxing Jazz Collective"/>
    <s v="Deep Focus Study Beats"/>
    <n v="6.99"/>
    <n v="8"/>
    <n v="9400000"/>
    <n v="0.12"/>
    <x v="2"/>
    <n v="35720"/>
    <n v="3.8E-3"/>
  </r>
  <r>
    <s v="TRK010"/>
    <s v="Smooth Rain Sounds"/>
    <s v="Rainy Coffee Shop Background"/>
    <n v="5.99"/>
    <n v="2"/>
    <n v="14200000"/>
    <n v="0.05"/>
    <x v="2"/>
    <n v="53960"/>
    <n v="3.8E-3"/>
  </r>
  <r>
    <s v="TRK011"/>
    <s v="Cozy Mood Beats"/>
    <s v="Midnight Lofi Lounge"/>
    <n v="6.99"/>
    <n v="11"/>
    <n v="6800000"/>
    <n v="0.18"/>
    <x v="2"/>
    <n v="25840"/>
    <n v="3.8E-3"/>
  </r>
  <r>
    <s v="TRK012"/>
    <s v="Sleepy Trio"/>
    <s v="Soft Piano for Relaxation"/>
    <n v="5.99"/>
    <n v="0"/>
    <n v="11500000"/>
    <n v="0.03"/>
    <x v="2"/>
    <n v="43700"/>
    <n v="3.8E-3"/>
  </r>
  <r>
    <s v="TRK013"/>
    <s v="Wynton Marsalis"/>
    <s v="The Magic Hour"/>
    <n v="9.99"/>
    <n v="240"/>
    <n v="2900000"/>
    <n v="0.79"/>
    <x v="1"/>
    <n v="11020"/>
    <n v="3.8E-3"/>
  </r>
  <r>
    <s v="TRK014"/>
    <s v="Ambient Jazz Project"/>
    <s v="Sunday Morning Pancakes"/>
    <n v="6.99"/>
    <n v="5"/>
    <n v="5100000"/>
    <n v="0.15"/>
    <x v="2"/>
    <n v="19380"/>
    <n v="3.8E-3"/>
  </r>
  <r>
    <s v="TRK015"/>
    <s v="Robert Glasper"/>
    <s v="Black Radio III"/>
    <n v="10.99"/>
    <n v="920"/>
    <n v="154000000.86000001"/>
    <n v="0.86"/>
    <x v="1"/>
    <n v="585200.00326800009"/>
    <n v="3.800000000000000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A70BA-C677-4CCD-8A95-A762345B8498}" name="PivotTable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D13" firstHeaderRow="0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treams" fld="5" baseField="0" baseItem="0"/>
    <dataField name="Sum of Estimated_Gross_Revenue" fld="8" baseField="0" baseItem="0" numFmtId="164"/>
    <dataField name="Average of Revenue_Per_1k_Streams" fld="9" subtotal="average" baseField="0" baseItem="0"/>
  </dataFields>
  <formats count="1">
    <format dxfId="6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9A6EA-E3AE-4071-AD2F-16BEFDF99AAC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6" firstHeaderRow="0" firstDataRow="1" firstDataCol="1"/>
  <pivotFields count="10"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talog Share" fld="0" subtotal="count" baseField="0" baseItem="0"/>
    <dataField name="Avg Price" fld="3" subtotal="average" baseField="0" baseItem="0" numFmtId="164"/>
    <dataField name="Avg Reviews" fld="4" subtotal="average" baseField="0" baseItem="0" numFmtId="3"/>
    <dataField name="Organic Share" fld="6" subtotal="average" baseField="0" baseItem="0" numFmtId="10"/>
  </dataFields>
  <formats count="3">
    <format dxfId="3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outline="0" fieldPosition="0">
        <references count="1">
          <reference field="4294967294" count="1" selected="0">
            <x v="3"/>
          </reference>
        </references>
      </pivotArea>
    </format>
    <format dxfId="5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217EE-34EE-4DD2-9720-E60AA1433256}" name="tblCatalog" displayName="tblCatalog" ref="A1:J16" totalsRowShown="0">
  <autoFilter ref="A1:J16" xr:uid="{B4F217EE-34EE-4DD2-9720-E60AA1433256}"/>
  <tableColumns count="10">
    <tableColumn id="1" xr3:uid="{E00BD7AD-1282-420C-8AC4-3B3D88E995AE}" name="Track_ID"/>
    <tableColumn id="2" xr3:uid="{6BD38B88-1B3D-4E97-84DA-D73C6FA6305E}" name="Artist_Name"/>
    <tableColumn id="3" xr3:uid="{97BCFCF2-8CEE-4AB2-ABCE-AC39A08ABFF4}" name="Album_Title"/>
    <tableColumn id="4" xr3:uid="{6DDD9138-EF99-4C5A-B7B9-416F952DA615}" name="Retail_Price"/>
    <tableColumn id="5" xr3:uid="{E2425899-919B-490E-8914-427B84776CB8}" name="Review_Count"/>
    <tableColumn id="6" xr3:uid="{D97F847C-5FF2-4D24-829E-85836BFF6145}" name="Total_Streams"/>
    <tableColumn id="7" xr3:uid="{C53A4DAC-909C-404A-B3A9-3FACE0AF9E45}" name="Organic_Stream_Pct"/>
    <tableColumn id="8" xr3:uid="{CD629AD3-782D-441A-B5C5-3AF15CDE2CBC}" name="Market_Tier" dataDxfId="2">
      <calculatedColumnFormula array="1">_xlfn.IFS(tblCatalog[[#This Row],[Review_Count]]&gt;=1000, "Anchor (Legacy)", AND(tblCatalog[[#This Row],[Review_Count]]&gt;=50, tblCatalog[[#This Row],[Review_Count]]&lt;1000), "Contemporary", tblCatalog[[#This Row],[Review_Count]]&lt;50, "Transient / AI Risk")</calculatedColumnFormula>
    </tableColumn>
    <tableColumn id="9" xr3:uid="{12BF556D-747E-40C0-A4ED-26948F2700EA}" name="Estimated_Gross_Revenue" dataDxfId="1">
      <calculatedColumnFormula>tblCatalog[[#This Row],[Total_Streams]] * 0.0038</calculatedColumnFormula>
    </tableColumn>
    <tableColumn id="10" xr3:uid="{9B0737B9-C2E3-4A8B-B532-FCCD212AFA92}" name="Revenue_Per_1k_Streams" dataDxfId="0">
      <calculatedColumnFormula>tblCatalog[[#This Row],[Estimated_Gross_Revenue]]/tblCatalog[[#This Row],[Total_Streams]]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F16" sqref="F2:F16"/>
    </sheetView>
  </sheetViews>
  <sheetFormatPr defaultRowHeight="15"/>
  <cols>
    <col min="1" max="1" width="11.28515625" bestFit="1" customWidth="1"/>
    <col min="2" max="2" width="14.7109375" bestFit="1" customWidth="1"/>
    <col min="3" max="3" width="14.28515625" bestFit="1" customWidth="1"/>
    <col min="4" max="4" width="14" bestFit="1" customWidth="1"/>
    <col min="5" max="6" width="16.42578125" bestFit="1" customWidth="1"/>
    <col min="7" max="7" width="21.85546875" bestFit="1" customWidth="1"/>
    <col min="8" max="8" width="17" bestFit="1" customWidth="1"/>
    <col min="9" max="9" width="27.85546875" bestFit="1" customWidth="1"/>
    <col min="10" max="10" width="21.4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s="1" t="s">
        <v>10</v>
      </c>
      <c r="B2" t="s">
        <v>11</v>
      </c>
      <c r="C2" t="s">
        <v>12</v>
      </c>
      <c r="D2">
        <v>13.99</v>
      </c>
      <c r="E2">
        <v>11420</v>
      </c>
      <c r="F2">
        <v>85400000</v>
      </c>
      <c r="G2">
        <v>0.94</v>
      </c>
      <c r="H2" t="str" cm="1">
        <f t="array" ref="H2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Anchor (Legacy)</v>
      </c>
      <c r="I2">
        <f>tblCatalog[[#This Row],[Total_Streams]] * 0.0038</f>
        <v>324520</v>
      </c>
      <c r="J2">
        <f>tblCatalog[[#This Row],[Estimated_Gross_Revenue]]/tblCatalog[[#This Row],[Total_Streams]]</f>
        <v>3.8E-3</v>
      </c>
      <c r="L2">
        <f>tblCatalog[[#This Row],[Estimated_Gross_Revenue]]/tblCatalog[[#This Row],[Total_Streams]]</f>
        <v>3.8E-3</v>
      </c>
    </row>
    <row r="3" spans="1:12">
      <c r="A3" t="s">
        <v>13</v>
      </c>
      <c r="B3" t="s">
        <v>14</v>
      </c>
      <c r="C3" t="s">
        <v>15</v>
      </c>
      <c r="D3">
        <v>12.99</v>
      </c>
      <c r="E3">
        <v>8950</v>
      </c>
      <c r="F3">
        <v>62100000</v>
      </c>
      <c r="G3">
        <v>0.92</v>
      </c>
      <c r="H3" t="str" cm="1">
        <f t="array" ref="H3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Anchor (Legacy)</v>
      </c>
      <c r="I3">
        <f>tblCatalog[[#This Row],[Total_Streams]] * 0.0038</f>
        <v>235980</v>
      </c>
      <c r="J3">
        <f>tblCatalog[[#This Row],[Estimated_Gross_Revenue]]/tblCatalog[[#This Row],[Total_Streams]]</f>
        <v>3.8E-3</v>
      </c>
    </row>
    <row r="4" spans="1:12">
      <c r="A4" t="s">
        <v>16</v>
      </c>
      <c r="B4" t="s">
        <v>17</v>
      </c>
      <c r="C4" t="s">
        <v>18</v>
      </c>
      <c r="D4">
        <v>11.99</v>
      </c>
      <c r="E4">
        <v>6320</v>
      </c>
      <c r="F4">
        <v>48900000</v>
      </c>
      <c r="G4">
        <v>0.89</v>
      </c>
      <c r="H4" t="str" cm="1">
        <f t="array" ref="H4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Anchor (Legacy)</v>
      </c>
      <c r="I4">
        <f>tblCatalog[[#This Row],[Total_Streams]] * 0.0038</f>
        <v>185820</v>
      </c>
      <c r="J4">
        <f>tblCatalog[[#This Row],[Estimated_Gross_Revenue]]/tblCatalog[[#This Row],[Total_Streams]]</f>
        <v>3.8E-3</v>
      </c>
    </row>
    <row r="5" spans="1:12">
      <c r="A5" t="s">
        <v>19</v>
      </c>
      <c r="B5" t="s">
        <v>20</v>
      </c>
      <c r="C5" t="s">
        <v>21</v>
      </c>
      <c r="D5">
        <v>10.99</v>
      </c>
      <c r="E5">
        <v>3410</v>
      </c>
      <c r="F5">
        <v>31200000</v>
      </c>
      <c r="G5">
        <v>0.85</v>
      </c>
      <c r="H5" t="str" cm="1">
        <f t="array" ref="H5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Anchor (Legacy)</v>
      </c>
      <c r="I5">
        <f>tblCatalog[[#This Row],[Total_Streams]] * 0.0038</f>
        <v>118560</v>
      </c>
      <c r="J5">
        <f>tblCatalog[[#This Row],[Estimated_Gross_Revenue]]/tblCatalog[[#This Row],[Total_Streams]]</f>
        <v>3.8E-3</v>
      </c>
    </row>
    <row r="6" spans="1:12">
      <c r="A6" t="s">
        <v>22</v>
      </c>
      <c r="B6" t="s">
        <v>23</v>
      </c>
      <c r="C6" t="s">
        <v>24</v>
      </c>
      <c r="D6">
        <v>10.99</v>
      </c>
      <c r="E6">
        <v>840</v>
      </c>
      <c r="F6">
        <v>18500000</v>
      </c>
      <c r="G6">
        <v>0.88</v>
      </c>
      <c r="H6" t="str" cm="1">
        <f t="array" ref="H6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6">
        <f>tblCatalog[[#This Row],[Total_Streams]] * 0.0038</f>
        <v>70300</v>
      </c>
      <c r="J6">
        <f>tblCatalog[[#This Row],[Estimated_Gross_Revenue]]/tblCatalog[[#This Row],[Total_Streams]]</f>
        <v>3.8E-3</v>
      </c>
    </row>
    <row r="7" spans="1:12">
      <c r="A7" t="s">
        <v>25</v>
      </c>
      <c r="B7" t="s">
        <v>26</v>
      </c>
      <c r="C7" t="s">
        <v>27</v>
      </c>
      <c r="D7">
        <v>9.99</v>
      </c>
      <c r="E7">
        <v>310</v>
      </c>
      <c r="F7">
        <v>4200000</v>
      </c>
      <c r="G7">
        <v>0.76</v>
      </c>
      <c r="H7" t="str" cm="1">
        <f t="array" ref="H7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7">
        <f>tblCatalog[[#This Row],[Total_Streams]] * 0.0038</f>
        <v>15960</v>
      </c>
      <c r="J7">
        <f>tblCatalog[[#This Row],[Estimated_Gross_Revenue]]/tblCatalog[[#This Row],[Total_Streams]]</f>
        <v>3.8E-3</v>
      </c>
    </row>
    <row r="8" spans="1:12">
      <c r="A8" t="s">
        <v>28</v>
      </c>
      <c r="B8" t="s">
        <v>29</v>
      </c>
      <c r="C8" t="s">
        <v>30</v>
      </c>
      <c r="D8">
        <v>10.99</v>
      </c>
      <c r="E8">
        <v>520</v>
      </c>
      <c r="F8">
        <v>8900000</v>
      </c>
      <c r="G8">
        <v>0.81</v>
      </c>
      <c r="H8" t="str" cm="1">
        <f t="array" ref="H8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8">
        <f>tblCatalog[[#This Row],[Total_Streams]] * 0.0038</f>
        <v>33820</v>
      </c>
      <c r="J8">
        <f>tblCatalog[[#This Row],[Estimated_Gross_Revenue]]/tblCatalog[[#This Row],[Total_Streams]]</f>
        <v>3.8E-3</v>
      </c>
    </row>
    <row r="9" spans="1:12">
      <c r="A9" t="s">
        <v>31</v>
      </c>
      <c r="B9" t="s">
        <v>32</v>
      </c>
      <c r="C9" t="s">
        <v>33</v>
      </c>
      <c r="D9">
        <v>9.99</v>
      </c>
      <c r="E9">
        <v>680</v>
      </c>
      <c r="F9">
        <v>12100000</v>
      </c>
      <c r="G9">
        <v>0.84</v>
      </c>
      <c r="H9" t="str" cm="1">
        <f t="array" ref="H9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9">
        <f>tblCatalog[[#This Row],[Total_Streams]] * 0.0038</f>
        <v>45980</v>
      </c>
      <c r="J9">
        <f>tblCatalog[[#This Row],[Estimated_Gross_Revenue]]/tblCatalog[[#This Row],[Total_Streams]]</f>
        <v>3.8E-3</v>
      </c>
    </row>
    <row r="10" spans="1:12">
      <c r="A10" t="s">
        <v>34</v>
      </c>
      <c r="B10" t="s">
        <v>35</v>
      </c>
      <c r="C10" t="s">
        <v>36</v>
      </c>
      <c r="D10">
        <v>6.99</v>
      </c>
      <c r="E10">
        <v>8</v>
      </c>
      <c r="F10">
        <v>9400000</v>
      </c>
      <c r="G10">
        <v>0.12</v>
      </c>
      <c r="H10" t="str" cm="1">
        <f t="array" ref="H10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Transient / AI Risk</v>
      </c>
      <c r="I10">
        <f>tblCatalog[[#This Row],[Total_Streams]] * 0.0038</f>
        <v>35720</v>
      </c>
      <c r="J10">
        <f>tblCatalog[[#This Row],[Estimated_Gross_Revenue]]/tblCatalog[[#This Row],[Total_Streams]]</f>
        <v>3.8E-3</v>
      </c>
    </row>
    <row r="11" spans="1:12">
      <c r="A11" t="s">
        <v>37</v>
      </c>
      <c r="B11" t="s">
        <v>38</v>
      </c>
      <c r="C11" t="s">
        <v>39</v>
      </c>
      <c r="D11">
        <v>5.99</v>
      </c>
      <c r="E11">
        <v>2</v>
      </c>
      <c r="F11">
        <v>14200000</v>
      </c>
      <c r="G11">
        <v>0.05</v>
      </c>
      <c r="H11" t="str" cm="1">
        <f t="array" ref="H11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Transient / AI Risk</v>
      </c>
      <c r="I11">
        <f>tblCatalog[[#This Row],[Total_Streams]] * 0.0038</f>
        <v>53960</v>
      </c>
      <c r="J11">
        <f>tblCatalog[[#This Row],[Estimated_Gross_Revenue]]/tblCatalog[[#This Row],[Total_Streams]]</f>
        <v>3.8E-3</v>
      </c>
    </row>
    <row r="12" spans="1:12">
      <c r="A12" t="s">
        <v>40</v>
      </c>
      <c r="B12" t="s">
        <v>41</v>
      </c>
      <c r="C12" t="s">
        <v>42</v>
      </c>
      <c r="D12">
        <v>6.99</v>
      </c>
      <c r="E12">
        <v>11</v>
      </c>
      <c r="F12">
        <v>6800000</v>
      </c>
      <c r="G12">
        <v>0.18</v>
      </c>
      <c r="H12" t="str" cm="1">
        <f t="array" ref="H12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Transient / AI Risk</v>
      </c>
      <c r="I12">
        <f>tblCatalog[[#This Row],[Total_Streams]] * 0.0038</f>
        <v>25840</v>
      </c>
      <c r="J12">
        <f>tblCatalog[[#This Row],[Estimated_Gross_Revenue]]/tblCatalog[[#This Row],[Total_Streams]]</f>
        <v>3.8E-3</v>
      </c>
    </row>
    <row r="13" spans="1:12">
      <c r="A13" t="s">
        <v>43</v>
      </c>
      <c r="B13" t="s">
        <v>44</v>
      </c>
      <c r="C13" t="s">
        <v>45</v>
      </c>
      <c r="D13">
        <v>5.99</v>
      </c>
      <c r="E13">
        <v>0</v>
      </c>
      <c r="F13">
        <v>11500000</v>
      </c>
      <c r="G13">
        <v>0.03</v>
      </c>
      <c r="H13" t="str" cm="1">
        <f t="array" ref="H13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Transient / AI Risk</v>
      </c>
      <c r="I13">
        <f>tblCatalog[[#This Row],[Total_Streams]] * 0.0038</f>
        <v>43700</v>
      </c>
      <c r="J13">
        <f>tblCatalog[[#This Row],[Estimated_Gross_Revenue]]/tblCatalog[[#This Row],[Total_Streams]]</f>
        <v>3.8E-3</v>
      </c>
    </row>
    <row r="14" spans="1:12">
      <c r="A14" t="s">
        <v>46</v>
      </c>
      <c r="B14" t="s">
        <v>47</v>
      </c>
      <c r="C14" t="s">
        <v>48</v>
      </c>
      <c r="D14">
        <v>9.99</v>
      </c>
      <c r="E14">
        <v>240</v>
      </c>
      <c r="F14">
        <v>2900000</v>
      </c>
      <c r="G14">
        <v>0.79</v>
      </c>
      <c r="H14" t="str" cm="1">
        <f t="array" ref="H14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14">
        <f>tblCatalog[[#This Row],[Total_Streams]] * 0.0038</f>
        <v>11020</v>
      </c>
      <c r="J14">
        <f>tblCatalog[[#This Row],[Estimated_Gross_Revenue]]/tblCatalog[[#This Row],[Total_Streams]]</f>
        <v>3.8E-3</v>
      </c>
    </row>
    <row r="15" spans="1:12">
      <c r="A15" t="s">
        <v>49</v>
      </c>
      <c r="B15" t="s">
        <v>50</v>
      </c>
      <c r="C15" t="s">
        <v>51</v>
      </c>
      <c r="D15">
        <v>6.99</v>
      </c>
      <c r="E15">
        <v>5</v>
      </c>
      <c r="F15">
        <v>5100000</v>
      </c>
      <c r="G15">
        <v>0.15</v>
      </c>
      <c r="H15" t="str" cm="1">
        <f t="array" ref="H15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Transient / AI Risk</v>
      </c>
      <c r="I15">
        <f>tblCatalog[[#This Row],[Total_Streams]] * 0.0038</f>
        <v>19380</v>
      </c>
      <c r="J15">
        <f>tblCatalog[[#This Row],[Estimated_Gross_Revenue]]/tblCatalog[[#This Row],[Total_Streams]]</f>
        <v>3.8E-3</v>
      </c>
    </row>
    <row r="16" spans="1:12">
      <c r="A16" t="s">
        <v>52</v>
      </c>
      <c r="B16" t="s">
        <v>53</v>
      </c>
      <c r="C16" t="s">
        <v>54</v>
      </c>
      <c r="D16">
        <v>10.99</v>
      </c>
      <c r="E16">
        <v>920</v>
      </c>
      <c r="F16">
        <v>154000000.86000001</v>
      </c>
      <c r="G16">
        <v>0.86</v>
      </c>
      <c r="H16" t="str" cm="1">
        <f t="array" ref="H16">_xlfn.IFS(tblCatalog[[#This Row],[Review_Count]]&gt;=1000, "Anchor (Legacy)", AND(tblCatalog[[#This Row],[Review_Count]]&gt;=50, tblCatalog[[#This Row],[Review_Count]]&lt;1000), "Contemporary", tblCatalog[[#This Row],[Review_Count]]&lt;50, "Transient / AI Risk")</f>
        <v>Contemporary</v>
      </c>
      <c r="I16">
        <f>tblCatalog[[#This Row],[Total_Streams]] * 0.0038</f>
        <v>585200.00326800009</v>
      </c>
      <c r="J16">
        <f>tblCatalog[[#This Row],[Estimated_Gross_Revenue]]/tblCatalog[[#This Row],[Total_Streams]]</f>
        <v>3.8000000000000004E-3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E601-DBFB-48A9-8565-FEBD0DF691AA}">
  <dimension ref="A1:E13"/>
  <sheetViews>
    <sheetView workbookViewId="0">
      <selection activeCell="C13" sqref="C13"/>
    </sheetView>
  </sheetViews>
  <sheetFormatPr defaultRowHeight="15"/>
  <cols>
    <col min="1" max="1" width="17" bestFit="1" customWidth="1"/>
    <col min="2" max="2" width="21" bestFit="1" customWidth="1"/>
    <col min="3" max="3" width="32.42578125" bestFit="1" customWidth="1"/>
    <col min="4" max="4" width="35.42578125" bestFit="1" customWidth="1"/>
    <col min="5" max="5" width="13.7109375" bestFit="1" customWidth="1"/>
  </cols>
  <sheetData>
    <row r="1" spans="1:5">
      <c r="A1" s="37" t="s">
        <v>55</v>
      </c>
      <c r="B1" s="37"/>
      <c r="C1" s="37"/>
      <c r="D1" s="37"/>
      <c r="E1" s="37"/>
    </row>
    <row r="2" spans="1:5">
      <c r="A2" s="2" t="s">
        <v>7</v>
      </c>
      <c r="B2" t="s">
        <v>56</v>
      </c>
      <c r="C2" t="s">
        <v>57</v>
      </c>
      <c r="D2" t="s">
        <v>58</v>
      </c>
      <c r="E2" t="s">
        <v>59</v>
      </c>
    </row>
    <row r="3" spans="1:5">
      <c r="A3" t="s">
        <v>60</v>
      </c>
      <c r="B3" s="3">
        <v>4</v>
      </c>
      <c r="C3" s="4">
        <v>12.49</v>
      </c>
      <c r="D3" s="6">
        <v>7525</v>
      </c>
      <c r="E3" s="5">
        <v>0.9</v>
      </c>
    </row>
    <row r="4" spans="1:5">
      <c r="A4" t="s">
        <v>61</v>
      </c>
      <c r="B4" s="3">
        <v>6</v>
      </c>
      <c r="C4" s="4">
        <v>10.49</v>
      </c>
      <c r="D4" s="6">
        <v>585</v>
      </c>
      <c r="E4" s="5">
        <v>0.82333333333333336</v>
      </c>
    </row>
    <row r="5" spans="1:5">
      <c r="A5" t="s">
        <v>62</v>
      </c>
      <c r="B5" s="3">
        <v>5</v>
      </c>
      <c r="C5" s="4">
        <v>6.5900000000000007</v>
      </c>
      <c r="D5" s="6">
        <v>5.2</v>
      </c>
      <c r="E5" s="5">
        <v>0.10600000000000001</v>
      </c>
    </row>
    <row r="6" spans="1:5">
      <c r="A6" t="s">
        <v>63</v>
      </c>
      <c r="B6" s="3">
        <v>15</v>
      </c>
      <c r="C6" s="4">
        <v>9.7233333333333327</v>
      </c>
      <c r="D6" s="6">
        <v>2242.4</v>
      </c>
      <c r="E6" s="5">
        <v>0.60466666666666669</v>
      </c>
    </row>
    <row r="8" spans="1:5">
      <c r="A8" s="37" t="s">
        <v>64</v>
      </c>
      <c r="B8" s="37"/>
      <c r="C8" s="37"/>
      <c r="D8" s="37"/>
    </row>
    <row r="9" spans="1:5">
      <c r="A9" s="2" t="s">
        <v>7</v>
      </c>
      <c r="B9" t="s">
        <v>65</v>
      </c>
      <c r="C9" t="s">
        <v>66</v>
      </c>
      <c r="D9" t="s">
        <v>67</v>
      </c>
    </row>
    <row r="10" spans="1:5">
      <c r="A10" t="s">
        <v>60</v>
      </c>
      <c r="B10" s="3">
        <v>227600000</v>
      </c>
      <c r="C10" s="4">
        <v>864880</v>
      </c>
      <c r="D10" s="3">
        <v>3.8E-3</v>
      </c>
    </row>
    <row r="11" spans="1:5">
      <c r="A11" t="s">
        <v>61</v>
      </c>
      <c r="B11" s="3">
        <v>200600000.86000001</v>
      </c>
      <c r="C11" s="4">
        <v>762280.00326800009</v>
      </c>
      <c r="D11" s="3">
        <v>3.8E-3</v>
      </c>
    </row>
    <row r="12" spans="1:5">
      <c r="A12" t="s">
        <v>62</v>
      </c>
      <c r="B12" s="3">
        <v>47000000</v>
      </c>
      <c r="C12" s="4">
        <v>178600</v>
      </c>
      <c r="D12" s="3">
        <v>3.8E-3</v>
      </c>
    </row>
    <row r="13" spans="1:5">
      <c r="A13" t="s">
        <v>63</v>
      </c>
      <c r="B13" s="3">
        <v>475200000.86000001</v>
      </c>
      <c r="C13" s="4">
        <v>1805760.0032680002</v>
      </c>
      <c r="D13" s="3">
        <v>3.7999999999999991E-3</v>
      </c>
    </row>
  </sheetData>
  <mergeCells count="2">
    <mergeCell ref="A1:E1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2788-8252-4CC2-8869-F691D24802FB}">
  <dimension ref="A1:J18"/>
  <sheetViews>
    <sheetView tabSelected="1" workbookViewId="0">
      <selection activeCell="A9" sqref="A9"/>
    </sheetView>
  </sheetViews>
  <sheetFormatPr defaultRowHeight="15"/>
  <cols>
    <col min="1" max="1" width="37.28515625" bestFit="1" customWidth="1"/>
    <col min="2" max="2" width="24.42578125" customWidth="1"/>
    <col min="5" max="5" width="30" bestFit="1" customWidth="1"/>
    <col min="6" max="6" width="27.7109375" bestFit="1" customWidth="1"/>
    <col min="7" max="10" width="14.85546875" bestFit="1" customWidth="1"/>
  </cols>
  <sheetData>
    <row r="1" spans="1:10">
      <c r="A1" s="13" t="s">
        <v>68</v>
      </c>
      <c r="B1" s="13" t="s">
        <v>69</v>
      </c>
    </row>
    <row r="2" spans="1:10">
      <c r="A2" t="s">
        <v>70</v>
      </c>
      <c r="B2" s="38">
        <v>3.8E-3</v>
      </c>
      <c r="E2" s="7" t="str">
        <f>A8</f>
        <v>Estimated Catalog Valuation (12.5 years)</v>
      </c>
      <c r="F2" s="32">
        <f>B8</f>
        <v>22572000.040849999</v>
      </c>
    </row>
    <row r="3" spans="1:10">
      <c r="A3" t="s">
        <v>71</v>
      </c>
      <c r="B3" s="39">
        <v>10.99</v>
      </c>
    </row>
    <row r="4" spans="1:10">
      <c r="A4" t="s">
        <v>72</v>
      </c>
      <c r="B4" s="14">
        <v>8.5000000000000006E-2</v>
      </c>
    </row>
    <row r="5" spans="1:10">
      <c r="A5" t="s">
        <v>73</v>
      </c>
      <c r="B5" s="15">
        <v>12.5</v>
      </c>
      <c r="E5" s="7" t="s">
        <v>74</v>
      </c>
    </row>
    <row r="6" spans="1:10">
      <c r="A6" t="s">
        <v>75</v>
      </c>
      <c r="B6">
        <f>SUM(Catalog_Data!F2:F16)</f>
        <v>475200000.86000001</v>
      </c>
      <c r="F6" s="35">
        <v>3.0000000000000001E-3</v>
      </c>
      <c r="G6" s="35">
        <v>3.5000000000000001E-3</v>
      </c>
      <c r="H6" s="35">
        <v>3.8E-3</v>
      </c>
      <c r="I6" s="36">
        <v>4.0000000000000001E-3</v>
      </c>
      <c r="J6" s="35">
        <v>4.4999999999999997E-3</v>
      </c>
    </row>
    <row r="7" spans="1:10">
      <c r="A7" t="s">
        <v>76</v>
      </c>
      <c r="B7" s="17">
        <f>B6*B2</f>
        <v>1805760.003268</v>
      </c>
      <c r="E7" s="34">
        <v>-0.1</v>
      </c>
      <c r="F7" s="33">
        <f>$B$6 * (1 + $E7) * F$6 * $B$5</f>
        <v>16038000.029025003</v>
      </c>
      <c r="G7" s="33">
        <f t="shared" ref="G7:J11" si="0">$B$6 * (1 + $E7) * G$6 * $B$5</f>
        <v>18711000.033862501</v>
      </c>
      <c r="H7" s="33">
        <f t="shared" si="0"/>
        <v>20314800.036765002</v>
      </c>
      <c r="I7" s="33">
        <f t="shared" si="0"/>
        <v>21384000.038700003</v>
      </c>
      <c r="J7" s="33">
        <f t="shared" si="0"/>
        <v>24057000.043537501</v>
      </c>
    </row>
    <row r="8" spans="1:10">
      <c r="A8" t="s">
        <v>77</v>
      </c>
      <c r="B8" s="17">
        <f>B7*B5</f>
        <v>22572000.040849999</v>
      </c>
      <c r="E8" s="34">
        <v>0</v>
      </c>
      <c r="F8" s="33">
        <f t="shared" ref="F8:F11" si="1">$B$6 * (1 + $E8) * F$6 * $B$5</f>
        <v>17820000.032250002</v>
      </c>
      <c r="G8" s="33">
        <f t="shared" si="0"/>
        <v>20790000.037625</v>
      </c>
      <c r="H8" s="33">
        <f t="shared" si="0"/>
        <v>22572000.040849999</v>
      </c>
      <c r="I8" s="33">
        <f t="shared" si="0"/>
        <v>23760000.043000001</v>
      </c>
      <c r="J8" s="33">
        <f t="shared" si="0"/>
        <v>26730000.048375003</v>
      </c>
    </row>
    <row r="9" spans="1:10">
      <c r="E9" s="34">
        <v>0.1</v>
      </c>
      <c r="F9" s="33">
        <f t="shared" si="1"/>
        <v>19602000.035475001</v>
      </c>
      <c r="G9" s="33">
        <f t="shared" si="0"/>
        <v>22869000.041387502</v>
      </c>
      <c r="H9" s="33">
        <f t="shared" si="0"/>
        <v>24829200.044935003</v>
      </c>
      <c r="I9" s="33">
        <f t="shared" si="0"/>
        <v>26136000.047300003</v>
      </c>
      <c r="J9" s="33">
        <f t="shared" si="0"/>
        <v>29403000.053212501</v>
      </c>
    </row>
    <row r="10" spans="1:10">
      <c r="E10" s="34">
        <v>0.2</v>
      </c>
      <c r="F10" s="33">
        <f t="shared" si="1"/>
        <v>21384000.038699999</v>
      </c>
      <c r="G10" s="33">
        <f t="shared" si="0"/>
        <v>24948000.045149997</v>
      </c>
      <c r="H10" s="33">
        <f t="shared" si="0"/>
        <v>27086400.049019996</v>
      </c>
      <c r="I10" s="33">
        <f t="shared" si="0"/>
        <v>28512000.051599998</v>
      </c>
      <c r="J10" s="33">
        <f t="shared" si="0"/>
        <v>32076000.058049995</v>
      </c>
    </row>
    <row r="11" spans="1:10">
      <c r="E11" s="34">
        <v>0.3</v>
      </c>
      <c r="F11" s="33">
        <f t="shared" si="1"/>
        <v>23166000.041925002</v>
      </c>
      <c r="G11" s="33">
        <f t="shared" si="0"/>
        <v>27027000.048912503</v>
      </c>
      <c r="H11" s="33">
        <f t="shared" si="0"/>
        <v>29343600.053105004</v>
      </c>
      <c r="I11" s="33">
        <f t="shared" si="0"/>
        <v>30888000.0559</v>
      </c>
      <c r="J11" s="33">
        <f t="shared" si="0"/>
        <v>34749000.062887497</v>
      </c>
    </row>
    <row r="18" spans="5:5">
      <c r="E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5752-FC06-4A88-9FE2-0D4D718374BD}">
  <dimension ref="A1:F84"/>
  <sheetViews>
    <sheetView topLeftCell="A75" workbookViewId="0">
      <selection activeCell="A84" sqref="A84"/>
    </sheetView>
  </sheetViews>
  <sheetFormatPr defaultRowHeight="15"/>
  <cols>
    <col min="1" max="1" width="17.85546875" customWidth="1"/>
  </cols>
  <sheetData>
    <row r="1" spans="1:6">
      <c r="A1" t="s">
        <v>78</v>
      </c>
    </row>
    <row r="2" spans="1:6">
      <c r="A2" t="s">
        <v>79</v>
      </c>
    </row>
    <row r="3" spans="1:6">
      <c r="A3" t="s">
        <v>80</v>
      </c>
    </row>
    <row r="4" spans="1:6">
      <c r="A4" t="s">
        <v>81</v>
      </c>
    </row>
    <row r="7" spans="1:6">
      <c r="A7" s="7" t="s">
        <v>82</v>
      </c>
    </row>
    <row r="8" spans="1:6" ht="15" customHeight="1">
      <c r="A8" s="8" t="s">
        <v>83</v>
      </c>
      <c r="B8" s="8"/>
      <c r="C8" s="8"/>
      <c r="D8" s="8"/>
      <c r="E8" s="8"/>
      <c r="F8" s="8"/>
    </row>
    <row r="9" spans="1:6">
      <c r="A9" s="8" t="s">
        <v>84</v>
      </c>
    </row>
    <row r="10" spans="1:6">
      <c r="A10" s="8" t="s">
        <v>85</v>
      </c>
    </row>
    <row r="11" spans="1:6">
      <c r="A11" s="8" t="s">
        <v>86</v>
      </c>
    </row>
    <row r="12" spans="1:6">
      <c r="A12" s="8" t="s">
        <v>87</v>
      </c>
    </row>
    <row r="13" spans="1:6">
      <c r="A13" s="8" t="s">
        <v>88</v>
      </c>
    </row>
    <row r="14" spans="1:6">
      <c r="A14" s="8" t="s">
        <v>89</v>
      </c>
    </row>
    <row r="15" spans="1:6">
      <c r="A15" s="8" t="s">
        <v>90</v>
      </c>
    </row>
    <row r="16" spans="1:6">
      <c r="A16" s="8" t="s">
        <v>91</v>
      </c>
    </row>
    <row r="18" spans="1:3" ht="15.75">
      <c r="A18" s="9" t="s">
        <v>92</v>
      </c>
      <c r="B18" s="40"/>
      <c r="C18" s="40"/>
    </row>
    <row r="19" spans="1:3">
      <c r="A19" s="10" t="s">
        <v>93</v>
      </c>
      <c r="B19" s="40"/>
      <c r="C19" s="40"/>
    </row>
    <row r="20" spans="1:3">
      <c r="A20" s="40" t="s">
        <v>7</v>
      </c>
      <c r="B20" s="40"/>
      <c r="C20" s="40"/>
    </row>
    <row r="21" spans="1:3">
      <c r="A21" s="10" t="s">
        <v>94</v>
      </c>
      <c r="B21" s="40"/>
      <c r="C21" s="40"/>
    </row>
    <row r="22" spans="1:3">
      <c r="A22" s="40"/>
      <c r="B22" s="40" t="s">
        <v>0</v>
      </c>
      <c r="C22" s="40"/>
    </row>
    <row r="23" spans="1:3">
      <c r="A23" s="40"/>
      <c r="B23" s="40" t="s">
        <v>95</v>
      </c>
      <c r="C23" s="40"/>
    </row>
    <row r="24" spans="1:3">
      <c r="A24" s="40"/>
      <c r="B24" s="40" t="s">
        <v>3</v>
      </c>
      <c r="C24" s="40"/>
    </row>
    <row r="25" spans="1:3">
      <c r="A25" s="40"/>
      <c r="B25" s="40" t="s">
        <v>96</v>
      </c>
      <c r="C25" s="40"/>
    </row>
    <row r="26" spans="1:3">
      <c r="A26" s="40"/>
      <c r="B26" s="40" t="s">
        <v>4</v>
      </c>
      <c r="C26" s="40"/>
    </row>
    <row r="27" spans="1:3">
      <c r="A27" s="40"/>
      <c r="B27" s="40" t="s">
        <v>97</v>
      </c>
      <c r="C27" s="40"/>
    </row>
    <row r="28" spans="1:3">
      <c r="A28" s="40"/>
      <c r="B28" s="40" t="s">
        <v>6</v>
      </c>
      <c r="C28" s="40"/>
    </row>
    <row r="29" spans="1:3">
      <c r="A29" s="40"/>
      <c r="B29" s="40" t="s">
        <v>98</v>
      </c>
      <c r="C29" s="40"/>
    </row>
    <row r="31" spans="1:3" ht="15.75">
      <c r="A31" s="11" t="s">
        <v>99</v>
      </c>
    </row>
    <row r="32" spans="1:3">
      <c r="A32" s="7" t="s">
        <v>93</v>
      </c>
    </row>
    <row r="33" spans="1:2">
      <c r="A33" t="s">
        <v>7</v>
      </c>
    </row>
    <row r="34" spans="1:2">
      <c r="A34" s="7" t="s">
        <v>94</v>
      </c>
    </row>
    <row r="35" spans="1:2">
      <c r="B35" t="s">
        <v>5</v>
      </c>
    </row>
    <row r="36" spans="1:2">
      <c r="B36" t="s">
        <v>100</v>
      </c>
    </row>
    <row r="37" spans="1:2">
      <c r="B37" t="s">
        <v>8</v>
      </c>
    </row>
    <row r="38" spans="1:2">
      <c r="B38" t="s">
        <v>100</v>
      </c>
    </row>
    <row r="39" spans="1:2">
      <c r="B39" s="7" t="s">
        <v>101</v>
      </c>
    </row>
    <row r="40" spans="1:2">
      <c r="B40" t="s">
        <v>9</v>
      </c>
    </row>
    <row r="41" spans="1:2">
      <c r="B41" s="12" t="s">
        <v>102</v>
      </c>
    </row>
    <row r="42" spans="1:2">
      <c r="B42" t="s">
        <v>103</v>
      </c>
    </row>
    <row r="45" spans="1:2">
      <c r="A45" s="16" t="s">
        <v>104</v>
      </c>
    </row>
    <row r="46" spans="1:2">
      <c r="A46" s="7" t="s">
        <v>105</v>
      </c>
    </row>
    <row r="47" spans="1:2">
      <c r="A47" s="7" t="s">
        <v>106</v>
      </c>
    </row>
    <row r="48" spans="1:2">
      <c r="A48">
        <v>1</v>
      </c>
      <c r="B48" s="7" t="s">
        <v>107</v>
      </c>
    </row>
    <row r="49" spans="1:2">
      <c r="A49">
        <v>2</v>
      </c>
      <c r="B49" s="7" t="s">
        <v>108</v>
      </c>
    </row>
    <row r="52" spans="1:2">
      <c r="A52" s="18"/>
    </row>
    <row r="54" spans="1:2">
      <c r="A54" s="19" t="s">
        <v>109</v>
      </c>
    </row>
    <row r="55" spans="1:2">
      <c r="A55" s="20">
        <v>475200000.89999998</v>
      </c>
      <c r="B55" t="s">
        <v>110</v>
      </c>
    </row>
    <row r="57" spans="1:2">
      <c r="A57" s="19" t="s">
        <v>111</v>
      </c>
    </row>
    <row r="58" spans="1:2">
      <c r="A58" s="23">
        <v>3.8E-3</v>
      </c>
    </row>
    <row r="59" spans="1:2">
      <c r="A59" s="19" t="s">
        <v>112</v>
      </c>
    </row>
    <row r="60" spans="1:2">
      <c r="A60" s="20">
        <v>475200000.89999998</v>
      </c>
    </row>
    <row r="61" spans="1:2">
      <c r="A61" t="s">
        <v>113</v>
      </c>
    </row>
    <row r="62" spans="1:2">
      <c r="A62" s="23">
        <v>3.8E-3</v>
      </c>
    </row>
    <row r="63" spans="1:2">
      <c r="A63" s="12" t="s">
        <v>102</v>
      </c>
    </row>
    <row r="64" spans="1:2">
      <c r="A64" s="22">
        <v>1805760</v>
      </c>
      <c r="B64" t="s">
        <v>114</v>
      </c>
    </row>
    <row r="65" spans="1:4">
      <c r="A65" s="19" t="s">
        <v>115</v>
      </c>
      <c r="D65" t="s">
        <v>116</v>
      </c>
    </row>
    <row r="66" spans="1:4">
      <c r="A66" s="18" t="s">
        <v>117</v>
      </c>
    </row>
    <row r="67" spans="1:4">
      <c r="A67" s="19" t="s">
        <v>118</v>
      </c>
    </row>
    <row r="68" spans="1:4">
      <c r="A68" s="21">
        <v>1805760</v>
      </c>
    </row>
    <row r="69" spans="1:4">
      <c r="A69" s="18" t="s">
        <v>119</v>
      </c>
    </row>
    <row r="70" spans="1:4">
      <c r="A70" s="18">
        <v>12.5</v>
      </c>
    </row>
    <row r="71" spans="1:4">
      <c r="A71" s="12" t="s">
        <v>102</v>
      </c>
    </row>
    <row r="72" spans="1:4" ht="30.75">
      <c r="A72" s="22">
        <v>22572000.039999999</v>
      </c>
      <c r="B72" s="1" t="s">
        <v>120</v>
      </c>
      <c r="C72" t="s">
        <v>121</v>
      </c>
    </row>
    <row r="74" spans="1:4" ht="18">
      <c r="A74" s="24" t="s">
        <v>122</v>
      </c>
    </row>
    <row r="75" spans="1:4">
      <c r="A75" t="s">
        <v>123</v>
      </c>
    </row>
    <row r="76" spans="1:4">
      <c r="A76">
        <v>1</v>
      </c>
      <c r="B76" s="7" t="s">
        <v>124</v>
      </c>
    </row>
    <row r="77" spans="1:4">
      <c r="C77" s="7" t="s">
        <v>125</v>
      </c>
    </row>
    <row r="78" spans="1:4">
      <c r="C78" s="7" t="s">
        <v>126</v>
      </c>
    </row>
    <row r="79" spans="1:4">
      <c r="A79">
        <v>2</v>
      </c>
      <c r="B79" s="7" t="s">
        <v>127</v>
      </c>
    </row>
    <row r="80" spans="1:4">
      <c r="C80" t="s">
        <v>128</v>
      </c>
    </row>
    <row r="81" spans="1:3">
      <c r="A81">
        <v>3</v>
      </c>
      <c r="B81" s="7" t="s">
        <v>129</v>
      </c>
    </row>
    <row r="82" spans="1:3">
      <c r="C82" s="16" t="s">
        <v>130</v>
      </c>
    </row>
    <row r="84" spans="1:3">
      <c r="A8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ED07-607F-4878-8AC6-CCA0F9ABCE93}">
  <dimension ref="A1:B70"/>
  <sheetViews>
    <sheetView topLeftCell="A61" workbookViewId="0">
      <selection activeCell="A84" sqref="A84"/>
    </sheetView>
  </sheetViews>
  <sheetFormatPr defaultRowHeight="15"/>
  <sheetData>
    <row r="1" spans="1:1">
      <c r="A1" s="7" t="s">
        <v>132</v>
      </c>
    </row>
    <row r="3" spans="1:1">
      <c r="A3" t="s">
        <v>133</v>
      </c>
    </row>
    <row r="4" spans="1:1">
      <c r="A4" t="s">
        <v>134</v>
      </c>
    </row>
    <row r="5" spans="1:1">
      <c r="A5" t="s">
        <v>135</v>
      </c>
    </row>
    <row r="6" spans="1:1">
      <c r="A6" t="s">
        <v>136</v>
      </c>
    </row>
    <row r="8" spans="1:1">
      <c r="A8" t="s">
        <v>137</v>
      </c>
    </row>
    <row r="9" spans="1:1">
      <c r="A9" s="16" t="s">
        <v>138</v>
      </c>
    </row>
    <row r="11" spans="1:1">
      <c r="A11" t="s">
        <v>139</v>
      </c>
    </row>
    <row r="14" spans="1:1" ht="18">
      <c r="A14" s="24" t="s">
        <v>140</v>
      </c>
    </row>
    <row r="15" spans="1:1">
      <c r="A15" t="s">
        <v>141</v>
      </c>
    </row>
    <row r="16" spans="1:1">
      <c r="A16" t="s">
        <v>142</v>
      </c>
    </row>
    <row r="18" spans="1:2">
      <c r="A18" s="7" t="s">
        <v>143</v>
      </c>
    </row>
    <row r="20" spans="1:2">
      <c r="A20" s="7" t="s">
        <v>144</v>
      </c>
    </row>
    <row r="21" spans="1:2">
      <c r="A21" s="25" t="s">
        <v>145</v>
      </c>
    </row>
    <row r="23" spans="1:2" ht="18">
      <c r="A23" s="24" t="s">
        <v>146</v>
      </c>
    </row>
    <row r="24" spans="1:2">
      <c r="A24" t="s">
        <v>147</v>
      </c>
    </row>
    <row r="25" spans="1:2">
      <c r="A25">
        <v>1</v>
      </c>
      <c r="B25" s="7" t="s">
        <v>148</v>
      </c>
    </row>
    <row r="26" spans="1:2">
      <c r="A26">
        <v>2</v>
      </c>
      <c r="B26" s="7" t="s">
        <v>149</v>
      </c>
    </row>
    <row r="27" spans="1:2">
      <c r="A27">
        <v>3</v>
      </c>
      <c r="B27" s="7" t="s">
        <v>150</v>
      </c>
    </row>
    <row r="28" spans="1:2">
      <c r="A28">
        <v>4</v>
      </c>
      <c r="B28" s="7" t="s">
        <v>151</v>
      </c>
    </row>
    <row r="29" spans="1:2" ht="18">
      <c r="A29" s="24" t="s">
        <v>152</v>
      </c>
    </row>
    <row r="31" spans="1:2">
      <c r="A31" s="7" t="s">
        <v>153</v>
      </c>
    </row>
    <row r="32" spans="1:2">
      <c r="A32" s="26" t="s">
        <v>154</v>
      </c>
    </row>
    <row r="33" spans="1:1">
      <c r="A33" t="s">
        <v>155</v>
      </c>
    </row>
    <row r="34" spans="1:1" ht="18">
      <c r="A34" s="24" t="s">
        <v>156</v>
      </c>
    </row>
    <row r="35" spans="1:1">
      <c r="A35" t="s">
        <v>157</v>
      </c>
    </row>
    <row r="36" spans="1:1">
      <c r="A36" t="s">
        <v>158</v>
      </c>
    </row>
    <row r="38" spans="1:1">
      <c r="A38" s="28" t="s">
        <v>159</v>
      </c>
    </row>
    <row r="40" spans="1:1">
      <c r="A40" t="s">
        <v>160</v>
      </c>
    </row>
    <row r="41" spans="1:1">
      <c r="A41" s="7" t="s">
        <v>161</v>
      </c>
    </row>
    <row r="42" spans="1:1">
      <c r="A42" s="29" t="s">
        <v>162</v>
      </c>
    </row>
    <row r="43" spans="1:1">
      <c r="A43" s="29" t="s">
        <v>163</v>
      </c>
    </row>
    <row r="46" spans="1:1">
      <c r="A46" s="27" t="s">
        <v>164</v>
      </c>
    </row>
    <row r="47" spans="1:1">
      <c r="A47" s="8" t="s">
        <v>165</v>
      </c>
    </row>
    <row r="48" spans="1:1">
      <c r="A48" t="s">
        <v>166</v>
      </c>
    </row>
    <row r="49" spans="1:1">
      <c r="A49" t="s">
        <v>167</v>
      </c>
    </row>
    <row r="51" spans="1:1" ht="18">
      <c r="A51" s="30" t="s">
        <v>168</v>
      </c>
    </row>
    <row r="52" spans="1:1">
      <c r="A52" s="40" t="s">
        <v>169</v>
      </c>
    </row>
    <row r="53" spans="1:1">
      <c r="A53" s="40" t="s">
        <v>170</v>
      </c>
    </row>
    <row r="54" spans="1:1">
      <c r="A54" s="40" t="s">
        <v>171</v>
      </c>
    </row>
    <row r="55" spans="1:1">
      <c r="A55" s="40" t="s">
        <v>172</v>
      </c>
    </row>
    <row r="56" spans="1:1">
      <c r="A56" s="40"/>
    </row>
    <row r="57" spans="1:1" ht="18">
      <c r="A57" s="30" t="s">
        <v>173</v>
      </c>
    </row>
    <row r="58" spans="1:1">
      <c r="A58" s="16" t="s">
        <v>174</v>
      </c>
    </row>
    <row r="59" spans="1:1">
      <c r="A59" s="10" t="s">
        <v>175</v>
      </c>
    </row>
    <row r="60" spans="1:1">
      <c r="A60" s="10" t="s">
        <v>176</v>
      </c>
    </row>
    <row r="61" spans="1:1">
      <c r="A61" s="40" t="s">
        <v>177</v>
      </c>
    </row>
    <row r="62" spans="1:1">
      <c r="A62" s="40" t="s">
        <v>178</v>
      </c>
    </row>
    <row r="63" spans="1:1">
      <c r="A63" s="40" t="s">
        <v>179</v>
      </c>
    </row>
    <row r="64" spans="1:1">
      <c r="A64" s="16" t="s">
        <v>180</v>
      </c>
    </row>
    <row r="65" spans="1:2">
      <c r="A65" s="16"/>
    </row>
    <row r="66" spans="1:2" ht="18">
      <c r="A66" s="30" t="s">
        <v>181</v>
      </c>
    </row>
    <row r="67" spans="1:2">
      <c r="A67" s="40" t="s">
        <v>182</v>
      </c>
      <c r="B67" s="19" t="s">
        <v>183</v>
      </c>
    </row>
    <row r="68" spans="1:2">
      <c r="A68" s="40">
        <v>1</v>
      </c>
      <c r="B68" s="31" t="s">
        <v>184</v>
      </c>
    </row>
    <row r="69" spans="1:2">
      <c r="A69" s="40">
        <v>2</v>
      </c>
    </row>
    <row r="70" spans="1:2">
      <c r="A70" s="4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2026-09-30T18:51:25Z</dcterms:created>
  <dcterms:modified xsi:type="dcterms:W3CDTF">2026-10-02T22:01:26Z</dcterms:modified>
  <cp:category/>
  <cp:contentStatus/>
</cp:coreProperties>
</file>
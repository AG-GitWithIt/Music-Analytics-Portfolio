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14DA5DDB-9312-445F-BC1A-DE978800F5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ukebox Unit Econom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8" i="1"/>
  <c r="B24" i="1"/>
  <c r="B23" i="1"/>
  <c r="C30" i="1"/>
  <c r="B30" i="1"/>
  <c r="C29" i="1" l="1"/>
  <c r="B29" i="1"/>
  <c r="B31" i="1" l="1"/>
  <c r="B32" i="1" s="1"/>
  <c r="B33" i="1" s="1"/>
  <c r="C31" i="1"/>
  <c r="C32" i="1" s="1"/>
  <c r="C33" i="1" s="1"/>
</calcChain>
</file>

<file path=xl/sharedStrings.xml><?xml version="1.0" encoding="utf-8"?>
<sst xmlns="http://schemas.openxmlformats.org/spreadsheetml/2006/main" count="41" uniqueCount="41">
  <si>
    <t>JUKEBOX MODEL: UNIT ECONOMICS &amp; CONVERSION PIPELINE</t>
  </si>
  <si>
    <t>1. CORE MODEL ASSUMPTIONS (Variables)</t>
  </si>
  <si>
    <t>Target Active Superfan Cohort</t>
  </si>
  <si>
    <t>Base Crate Pack Cost</t>
  </si>
  <si>
    <t>Credits per Pack</t>
  </si>
  <si>
    <t>Calculated Cost per Credit</t>
  </si>
  <si>
    <t>Base Annual Packs per Member</t>
  </si>
  <si>
    <t>Unspent Credit Breakage Rate</t>
  </si>
  <si>
    <t>Established Catalog: Label / Rights Holder Split</t>
  </si>
  <si>
    <t>Indie Catalog: Direct Artist / Micro-Patronage Split</t>
  </si>
  <si>
    <t>2. USER PIPELINE &amp; REVENUE GENERATION</t>
  </si>
  <si>
    <t>Active Jukebox Membership</t>
  </si>
  <si>
    <t>Packs Purchased / Year / Member</t>
  </si>
  <si>
    <t>Gross Credit Pack Revenue ($)</t>
  </si>
  <si>
    <t>Pure Profit from Unspent Breakage ($)</t>
  </si>
  <si>
    <t>Pure Profit from Unspent Credit Breakage ($)</t>
  </si>
  <si>
    <t>Forgotten quarters left in accounts at month-end</t>
  </si>
  <si>
    <t>Pure Profit from Breakage</t>
  </si>
  <si>
    <r>
      <t>100% margin capital.</t>
    </r>
    <r>
      <rPr>
        <sz val="11"/>
        <color theme="1"/>
        <rFont val="Calibri"/>
        <family val="2"/>
        <scheme val="minor"/>
      </rPr>
      <t xml:space="preserve"> No royalties or server costs paid on this!</t>
    </r>
  </si>
  <si>
    <t>Net Working Revenue for Splits</t>
  </si>
  <si>
    <t>The active pool of money spent playing the 20-credit jukebox.</t>
  </si>
  <si>
    <t>3. MARGIN COMPARISON MODEL: ESTABLISHED VS. INDIE CATALOGS</t>
  </si>
  <si>
    <t>Financial Metric / Output Line</t>
  </si>
  <si>
    <t>Established Catalog (Major Labels)</t>
  </si>
  <si>
    <t>Indie Catalog (Micro-Patronage)</t>
  </si>
  <si>
    <t>Assumed Share of Total Jukebox Plays (%)</t>
  </si>
  <si>
    <t>Allocated Working Revenue ($)</t>
  </si>
  <si>
    <t>Artist Revenue Share Split (%)</t>
  </si>
  <si>
    <t>Total Artist Royalty Payout ($)</t>
  </si>
  <si>
    <t>Platform Net Kept Revenue ($)</t>
  </si>
  <si>
    <t>Platform Effective Gross Margin (%)</t>
  </si>
  <si>
    <t>Bottom Line Summary</t>
  </si>
  <si>
    <t>Platform Net Kept (Majors): $23,760.00</t>
  </si>
  <si>
    <t>Platform Net Kept (Indies): $52,800.00</t>
  </si>
  <si>
    <t>Pure Profit from Unspent Breakage: $36,000.00</t>
  </si>
  <si>
    <t>Total Platform NET Revenue: $112,560.00 (37.5% Net Margin)</t>
  </si>
  <si>
    <t>4. PRODUCT MECHANICS &amp; BEHAVIORAL RETENTION ENGINE</t>
  </si>
  <si>
    <r>
      <t>The "Arcade Pinball" Experience: Scarcity &amp; High-Intent Engagement</t>
    </r>
    <r>
      <rPr>
        <sz val="11"/>
        <color theme="1"/>
        <rFont val="Calibri"/>
        <family val="2"/>
        <scheme val="minor"/>
      </rPr>
      <t xml:space="preserve"> Unlike passive streaming apps that monetize infinite background noise, the Jukebox operates as a gated collector's club driven by intention, scarcity, and flexible velocity.</t>
    </r>
  </si>
  <si>
    <r>
      <t>The Flexible Refill Cadence (Adaptive Crate Billing):</t>
    </r>
    <r>
      <rPr>
        <sz val="11"/>
        <color theme="1"/>
        <rFont val="Calibri"/>
        <family val="2"/>
        <scheme val="minor"/>
      </rPr>
      <t xml:space="preserve"> Replaces rigid monthly billing with an adaptive crate model. Fast-burners can trigger early $5 refills, while slow-burners retain unspent inventory without cancellation guilt.</t>
    </r>
  </si>
  <si>
    <r>
      <t>The "Bonus Ball" Pinball Mechanic:</t>
    </r>
    <r>
      <rPr>
        <sz val="11"/>
        <color theme="1"/>
        <rFont val="Calibri"/>
        <family val="2"/>
        <scheme val="minor"/>
      </rPr>
      <t xml:space="preserve"> When a user burns 15+ credits within two weeks, the app triggers a high-velocity challenge (</t>
    </r>
    <r>
      <rPr>
        <i/>
        <sz val="11"/>
        <color theme="1"/>
        <rFont val="Calibri"/>
        <family val="2"/>
        <scheme val="minor"/>
      </rPr>
      <t>"Play 2 Stretch tracks this week to earn +3 Bonus Credits"</t>
    </r>
    <r>
      <rPr>
        <sz val="11"/>
        <color theme="1"/>
        <rFont val="Calibri"/>
        <family val="2"/>
        <scheme val="minor"/>
      </rPr>
      <t>), boosting retention and accelerating refill velocity without diluting net margin.</t>
    </r>
  </si>
  <si>
    <r>
      <rPr>
        <b/>
        <sz val="11"/>
        <color rgb="FF000000"/>
        <rFont val="Calibri"/>
      </rPr>
      <t>Behavioral Persona Mitigations (Slow Burners):</t>
    </r>
    <r>
      <rPr>
        <sz val="11"/>
        <color rgb="FF000000"/>
        <rFont val="Calibri"/>
      </rPr>
      <t xml:space="preserve"> Prevents account abandonment through non-intrusive "Auto-Jukebox" micro-games and 1-tap "Indie Artist Patronage" credit-gifting valves, guaranteeing a stable </t>
    </r>
    <r>
      <rPr>
        <b/>
        <sz val="11"/>
        <color rgb="FF000000"/>
        <rFont val="Calibri"/>
      </rPr>
      <t>12.0% breakage baseline ($36,000 pure margin)</t>
    </r>
    <r>
      <rPr>
        <sz val="11"/>
        <color rgb="FF000000"/>
        <rFont val="Calibri"/>
      </rPr>
      <t xml:space="preserve"> while keeping churn near zero.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</si>
</sst>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12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9"/>
      <name val="Calibri"/>
    </font>
    <font>
      <b/>
      <sz val="11"/>
      <color rgb="FF1F497D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/>
    </xf>
    <xf numFmtId="0" fontId="5" fillId="0" borderId="0" xfId="0" applyFont="1"/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4" fillId="0" borderId="0" xfId="0" applyFont="1"/>
    <xf numFmtId="165" fontId="0" fillId="0" borderId="0" xfId="0" applyNumberFormat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/>
    <xf numFmtId="0" fontId="0" fillId="0" borderId="0" xfId="0" applyAlignment="1"/>
    <xf numFmtId="0" fontId="4" fillId="0" borderId="0" xfId="0" applyFont="1" applyAlignment="1"/>
    <xf numFmtId="0" fontId="7" fillId="0" borderId="0" xfId="0" applyFont="1"/>
    <xf numFmtId="0" fontId="0" fillId="0" borderId="0" xfId="0" quotePrefix="1"/>
    <xf numFmtId="0" fontId="1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35" workbookViewId="0">
      <selection activeCell="A42" sqref="A42:A46"/>
    </sheetView>
  </sheetViews>
  <sheetFormatPr defaultRowHeight="15"/>
  <cols>
    <col min="1" max="1" width="46" customWidth="1"/>
    <col min="2" max="3" width="34" customWidth="1"/>
  </cols>
  <sheetData>
    <row r="1" spans="1:3" ht="24.95" customHeight="1">
      <c r="A1" s="1" t="s">
        <v>0</v>
      </c>
    </row>
    <row r="2" spans="1:3">
      <c r="A2" s="2"/>
    </row>
    <row r="4" spans="1:3">
      <c r="A4" s="17" t="s">
        <v>1</v>
      </c>
      <c r="B4" s="18"/>
      <c r="C4" s="18"/>
    </row>
    <row r="5" spans="1:3">
      <c r="A5" t="s">
        <v>2</v>
      </c>
      <c r="B5" s="4">
        <v>5000</v>
      </c>
    </row>
    <row r="6" spans="1:3">
      <c r="A6" t="s">
        <v>3</v>
      </c>
      <c r="B6" s="5">
        <v>5</v>
      </c>
    </row>
    <row r="7" spans="1:3">
      <c r="A7" s="3" t="s">
        <v>4</v>
      </c>
      <c r="B7" s="4">
        <v>20</v>
      </c>
    </row>
    <row r="8" spans="1:3">
      <c r="A8" t="s">
        <v>5</v>
      </c>
      <c r="B8">
        <f>B6/B7</f>
        <v>0.25</v>
      </c>
    </row>
    <row r="9" spans="1:3">
      <c r="A9" t="s">
        <v>6</v>
      </c>
      <c r="B9" s="4">
        <v>12</v>
      </c>
    </row>
    <row r="10" spans="1:3">
      <c r="A10" t="s">
        <v>7</v>
      </c>
      <c r="B10" s="6">
        <v>0.12</v>
      </c>
    </row>
    <row r="11" spans="1:3">
      <c r="A11" t="s">
        <v>8</v>
      </c>
      <c r="B11" s="6">
        <v>0.85</v>
      </c>
    </row>
    <row r="12" spans="1:3">
      <c r="A12" t="s">
        <v>9</v>
      </c>
      <c r="B12" s="6">
        <v>0.5</v>
      </c>
    </row>
    <row r="13" spans="1:3">
      <c r="A13" s="3"/>
      <c r="B13" s="7"/>
    </row>
    <row r="14" spans="1:3">
      <c r="B14" s="7"/>
    </row>
    <row r="15" spans="1:3">
      <c r="B15" s="8"/>
    </row>
    <row r="17" spans="1:6">
      <c r="A17" s="17" t="s">
        <v>10</v>
      </c>
      <c r="B17" s="18"/>
      <c r="C17" s="18"/>
    </row>
    <row r="18" spans="1:6">
      <c r="A18" s="3" t="s">
        <v>11</v>
      </c>
      <c r="B18" s="4">
        <v>5000</v>
      </c>
    </row>
    <row r="19" spans="1:6">
      <c r="A19" s="3" t="s">
        <v>12</v>
      </c>
      <c r="B19" s="4">
        <v>12</v>
      </c>
    </row>
    <row r="20" spans="1:6">
      <c r="A20" t="s">
        <v>13</v>
      </c>
      <c r="B20" s="4">
        <f>B18*B19*5</f>
        <v>300000</v>
      </c>
    </row>
    <row r="21" spans="1:6">
      <c r="A21" t="s">
        <v>14</v>
      </c>
      <c r="B21" s="7">
        <f>B20*B22</f>
        <v>36000</v>
      </c>
    </row>
    <row r="22" spans="1:6">
      <c r="A22" s="3" t="s">
        <v>15</v>
      </c>
      <c r="B22" s="7">
        <v>0.12</v>
      </c>
      <c r="C22" t="s">
        <v>16</v>
      </c>
    </row>
    <row r="23" spans="1:6">
      <c r="A23" t="s">
        <v>17</v>
      </c>
      <c r="B23" s="9">
        <f>300000 * 0.12</f>
        <v>36000</v>
      </c>
      <c r="C23" s="20" t="s">
        <v>18</v>
      </c>
    </row>
    <row r="24" spans="1:6">
      <c r="A24" t="s">
        <v>19</v>
      </c>
      <c r="B24" s="7">
        <f>300000 - 36000</f>
        <v>264000</v>
      </c>
      <c r="C24" t="s">
        <v>20</v>
      </c>
    </row>
    <row r="26" spans="1:6">
      <c r="A26" s="10" t="s">
        <v>21</v>
      </c>
    </row>
    <row r="27" spans="1:6" ht="24" customHeight="1">
      <c r="A27" s="11" t="s">
        <v>22</v>
      </c>
      <c r="B27" s="12" t="s">
        <v>23</v>
      </c>
      <c r="C27" s="12" t="s">
        <v>24</v>
      </c>
    </row>
    <row r="28" spans="1:6">
      <c r="A28" s="10" t="s">
        <v>25</v>
      </c>
      <c r="B28" s="13">
        <v>0.6</v>
      </c>
      <c r="C28" s="13">
        <v>0.4</v>
      </c>
      <c r="D28" s="21"/>
      <c r="F28" s="20"/>
    </row>
    <row r="29" spans="1:6">
      <c r="A29" s="14" t="s">
        <v>26</v>
      </c>
      <c r="B29" s="15">
        <f>B28*B24</f>
        <v>158400</v>
      </c>
      <c r="C29" s="15">
        <f>C28*B24</f>
        <v>105600</v>
      </c>
      <c r="F29" s="21"/>
    </row>
    <row r="30" spans="1:6">
      <c r="A30" s="14" t="s">
        <v>27</v>
      </c>
      <c r="B30" s="13">
        <f>B11</f>
        <v>0.85</v>
      </c>
      <c r="C30" s="13">
        <f>B12</f>
        <v>0.5</v>
      </c>
      <c r="F30" s="20"/>
    </row>
    <row r="31" spans="1:6">
      <c r="A31" s="10" t="s">
        <v>28</v>
      </c>
      <c r="B31" s="15">
        <f>B30*B29</f>
        <v>134640</v>
      </c>
      <c r="C31" s="15">
        <f>C30*C29</f>
        <v>52800</v>
      </c>
      <c r="F31" s="21"/>
    </row>
    <row r="32" spans="1:6">
      <c r="A32" s="10" t="s">
        <v>29</v>
      </c>
      <c r="B32" s="15">
        <f>B29-B31</f>
        <v>23760</v>
      </c>
      <c r="C32" s="15">
        <f>C29-C31</f>
        <v>52800</v>
      </c>
      <c r="F32" s="20"/>
    </row>
    <row r="33" spans="1:6">
      <c r="A33" s="10" t="s">
        <v>30</v>
      </c>
      <c r="B33" s="16">
        <f>B32/B29</f>
        <v>0.15</v>
      </c>
      <c r="C33" s="16">
        <f>C32/C29</f>
        <v>0.5</v>
      </c>
      <c r="F33" s="21"/>
    </row>
    <row r="34" spans="1:6">
      <c r="F34" s="20"/>
    </row>
    <row r="35" spans="1:6">
      <c r="F35" s="21"/>
    </row>
    <row r="36" spans="1:6">
      <c r="A36" s="17" t="s">
        <v>31</v>
      </c>
      <c r="B36" s="18"/>
      <c r="C36" s="18"/>
    </row>
    <row r="37" spans="1:6">
      <c r="A37" s="19" t="s">
        <v>32</v>
      </c>
      <c r="B37" s="18"/>
      <c r="C37" s="18"/>
    </row>
    <row r="38" spans="1:6">
      <c r="A38" s="19" t="s">
        <v>33</v>
      </c>
      <c r="B38" s="18"/>
      <c r="C38" s="18"/>
    </row>
    <row r="39" spans="1:6">
      <c r="A39" s="19" t="s">
        <v>34</v>
      </c>
      <c r="B39" s="18"/>
      <c r="C39" s="18"/>
    </row>
    <row r="40" spans="1:6">
      <c r="A40" t="s">
        <v>35</v>
      </c>
    </row>
    <row r="41" spans="1:6">
      <c r="A41" s="20"/>
    </row>
    <row r="42" spans="1:6" ht="18">
      <c r="A42" s="22" t="s">
        <v>36</v>
      </c>
    </row>
    <row r="43" spans="1:6">
      <c r="A43" s="20" t="s">
        <v>37</v>
      </c>
    </row>
    <row r="44" spans="1:6">
      <c r="A44" s="20" t="s">
        <v>38</v>
      </c>
    </row>
    <row r="45" spans="1:6">
      <c r="A45" s="20" t="s">
        <v>39</v>
      </c>
    </row>
    <row r="46" spans="1:6">
      <c r="A46" s="23" t="s">
        <v>40</v>
      </c>
    </row>
  </sheetData>
  <mergeCells count="6">
    <mergeCell ref="A36:C36"/>
    <mergeCell ref="A37:C37"/>
    <mergeCell ref="A17:C17"/>
    <mergeCell ref="A39:C39"/>
    <mergeCell ref="A4:C4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2026-10-08T16:38:39Z</dcterms:created>
  <dcterms:modified xsi:type="dcterms:W3CDTF">2026-10-08T18:59:53Z</dcterms:modified>
  <cp:category/>
  <cp:contentStatus/>
</cp:coreProperties>
</file>